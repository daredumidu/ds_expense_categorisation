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midu.RAVEN\Desktop\New folder\"/>
    </mc:Choice>
  </mc:AlternateContent>
  <bookViews>
    <workbookView xWindow="377985" yWindow="0" windowWidth="15480" windowHeight="8190" tabRatio="828"/>
  </bookViews>
  <sheets>
    <sheet name="monthly_expense" sheetId="29" r:id="rId1"/>
  </sheets>
  <definedNames>
    <definedName name="_xlnm._FilterDatabase" localSheetId="0" hidden="1">monthly_expense!$A$1:$E$297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1" i="29" l="1"/>
  <c r="E297" i="29" s="1"/>
  <c r="E265" i="29" l="1"/>
  <c r="E269" i="29" s="1"/>
  <c r="E11" i="29"/>
  <c r="E19" i="29"/>
  <c r="E233" i="29"/>
  <c r="E245" i="29" s="1"/>
  <c r="E211" i="29"/>
  <c r="E223" i="29" s="1"/>
  <c r="E200" i="29"/>
  <c r="E193" i="29"/>
  <c r="E31" i="29"/>
  <c r="E39" i="29"/>
  <c r="E45" i="29"/>
  <c r="E50" i="29"/>
  <c r="E70" i="29"/>
  <c r="E78" i="29" s="1"/>
  <c r="E74" i="29"/>
  <c r="E75" i="29"/>
  <c r="E93" i="29"/>
  <c r="E96" i="29" s="1"/>
  <c r="E115" i="29"/>
  <c r="E117" i="29"/>
  <c r="E126" i="29" s="1"/>
  <c r="E146" i="29"/>
  <c r="E150" i="29" s="1"/>
  <c r="E158" i="29"/>
  <c r="E170" i="29"/>
  <c r="E171" i="29"/>
  <c r="E204" i="29"/>
  <c r="E178" i="29"/>
  <c r="E51" i="29"/>
  <c r="E25" i="29"/>
</calcChain>
</file>

<file path=xl/sharedStrings.xml><?xml version="1.0" encoding="utf-8"?>
<sst xmlns="http://schemas.openxmlformats.org/spreadsheetml/2006/main" count="639" uniqueCount="127">
  <si>
    <t>total</t>
  </si>
  <si>
    <t>amount</t>
  </si>
  <si>
    <t>month</t>
  </si>
  <si>
    <t>monthly expenses</t>
  </si>
  <si>
    <t>rent</t>
  </si>
  <si>
    <t>mobile</t>
  </si>
  <si>
    <t>electricity</t>
  </si>
  <si>
    <t>shopping</t>
  </si>
  <si>
    <t>restaurants</t>
  </si>
  <si>
    <t>transport</t>
  </si>
  <si>
    <t>health</t>
  </si>
  <si>
    <t>other</t>
  </si>
  <si>
    <t>groceries</t>
  </si>
  <si>
    <t>date</t>
  </si>
  <si>
    <t>car installment</t>
  </si>
  <si>
    <t>electricity 2, 13</t>
  </si>
  <si>
    <t>subscription</t>
  </si>
  <si>
    <t>car insurance</t>
  </si>
  <si>
    <t>car tax</t>
  </si>
  <si>
    <t>maintenance</t>
  </si>
  <si>
    <t>car service (estimate 300)</t>
  </si>
  <si>
    <t>cissp maintain fee 2024</t>
  </si>
  <si>
    <t>supervalu</t>
  </si>
  <si>
    <t>dunnes</t>
  </si>
  <si>
    <t>leap card topup</t>
  </si>
  <si>
    <t>car wash</t>
  </si>
  <si>
    <t>Supervalu</t>
  </si>
  <si>
    <t>vietnam shop</t>
  </si>
  <si>
    <t>tesco</t>
  </si>
  <si>
    <t>bubble tea</t>
  </si>
  <si>
    <t>Petrol 36.58L (1.799) - 20km</t>
  </si>
  <si>
    <t>wd40, m&amp;s</t>
  </si>
  <si>
    <t>Tesco</t>
  </si>
  <si>
    <t>.</t>
  </si>
  <si>
    <t>electricity 21</t>
  </si>
  <si>
    <t>dinner</t>
  </si>
  <si>
    <t>Tissot battery replacement</t>
  </si>
  <si>
    <t>haircut</t>
  </si>
  <si>
    <t>amazon shopping bags</t>
  </si>
  <si>
    <t>supervalu flowers</t>
  </si>
  <si>
    <t>apartment repair</t>
  </si>
  <si>
    <t>find asia</t>
  </si>
  <si>
    <t>lidl, dunnes, aldi</t>
  </si>
  <si>
    <t>glass wipe, tyre pressure</t>
  </si>
  <si>
    <t>electricity 05, 18</t>
  </si>
  <si>
    <t>ikea</t>
  </si>
  <si>
    <t>homestore</t>
  </si>
  <si>
    <t>eurasia</t>
  </si>
  <si>
    <t>sekonda battery replace</t>
  </si>
  <si>
    <t>insurance (18.36)</t>
  </si>
  <si>
    <t>chemist wharehouse</t>
  </si>
  <si>
    <t>Petrol 40.18L (1.769) - 735km</t>
  </si>
  <si>
    <t>AIB qtr fee</t>
  </si>
  <si>
    <t xml:space="preserve">Herburt Park apple juice, chocolate </t>
  </si>
  <si>
    <t>Herburt Park food</t>
  </si>
  <si>
    <t>Butterlers</t>
  </si>
  <si>
    <t xml:space="preserve">M&amp;s </t>
  </si>
  <si>
    <t xml:space="preserve">electricity 02, 18, </t>
  </si>
  <si>
    <t>air ticket klm (137.33)</t>
  </si>
  <si>
    <t>vfs booking fee (17)</t>
  </si>
  <si>
    <t>visa fee (90)</t>
  </si>
  <si>
    <t xml:space="preserve">Supervalu </t>
  </si>
  <si>
    <t>electricity 04, 21</t>
  </si>
  <si>
    <t xml:space="preserve">Chemist where house </t>
  </si>
  <si>
    <t>Find Asia</t>
  </si>
  <si>
    <t>M&amp;s</t>
  </si>
  <si>
    <t>Boots</t>
  </si>
  <si>
    <t>Ice cream</t>
  </si>
  <si>
    <t>lunch</t>
  </si>
  <si>
    <t>m&amp;s tshirt (65)</t>
  </si>
  <si>
    <t>lunch + water bottle</t>
  </si>
  <si>
    <t>netherlands drinks</t>
  </si>
  <si>
    <t>super market</t>
  </si>
  <si>
    <t>wound cream</t>
  </si>
  <si>
    <t>wine shop</t>
  </si>
  <si>
    <t>electricity 06, 22</t>
  </si>
  <si>
    <t>SuSupervalu</t>
  </si>
  <si>
    <t>m&amp;s lunch</t>
  </si>
  <si>
    <t>woodies</t>
  </si>
  <si>
    <t>Petrol 36.04L (1.749) - 1200km</t>
  </si>
  <si>
    <t>cool drinks</t>
  </si>
  <si>
    <t>electricity 08, 24</t>
  </si>
  <si>
    <t>iclare (fr)</t>
  </si>
  <si>
    <t>q park</t>
  </si>
  <si>
    <t>knife (home store + more)</t>
  </si>
  <si>
    <t>m&amp;s</t>
  </si>
  <si>
    <t>asian food blackrock</t>
  </si>
  <si>
    <t>frescati parking</t>
  </si>
  <si>
    <t>Petrol 22.08L (1.739) - 1531km</t>
  </si>
  <si>
    <t>wexford lavender farm</t>
  </si>
  <si>
    <t>wheelocks stawberry farm</t>
  </si>
  <si>
    <t>electricity 10, 26</t>
  </si>
  <si>
    <t xml:space="preserve">supervalu </t>
  </si>
  <si>
    <t>Petrol 33.62L (1.739) - 2140km</t>
  </si>
  <si>
    <t>Q&amp;Q watch battery</t>
  </si>
  <si>
    <t>drinks</t>
  </si>
  <si>
    <t>woodies compost</t>
  </si>
  <si>
    <t>electricity 12, 28</t>
  </si>
  <si>
    <t>aldi</t>
  </si>
  <si>
    <t>electricity 14, 29</t>
  </si>
  <si>
    <t>boots</t>
  </si>
  <si>
    <t>little pgy</t>
  </si>
  <si>
    <t>Petrol 37.78L (1.759) - 2798km</t>
  </si>
  <si>
    <t>Dhl</t>
  </si>
  <si>
    <t>Leap card topup</t>
  </si>
  <si>
    <t>electricity 12, 27</t>
  </si>
  <si>
    <t>airport parking</t>
  </si>
  <si>
    <t>lindt hot chocolate</t>
  </si>
  <si>
    <t>Petrol 36.49L (1.779) - 3050km</t>
  </si>
  <si>
    <t>eToll penalty</t>
  </si>
  <si>
    <t>cissp maintain fee 2025</t>
  </si>
  <si>
    <t>electricity 11, 25</t>
  </si>
  <si>
    <t>vaseline cream</t>
  </si>
  <si>
    <t>Chemist warehouse</t>
  </si>
  <si>
    <t>wheel alignment</t>
  </si>
  <si>
    <t>Petrol 32.46L (1.739) - 3826km</t>
  </si>
  <si>
    <t>costa coffee</t>
  </si>
  <si>
    <t>lidl</t>
  </si>
  <si>
    <t>category</t>
  </si>
  <si>
    <t>doom slice</t>
  </si>
  <si>
    <t>donut</t>
  </si>
  <si>
    <t>car repair</t>
  </si>
  <si>
    <t xml:space="preserve"> parking</t>
  </si>
  <si>
    <t>car monthly installment</t>
  </si>
  <si>
    <t>apartment rent</t>
  </si>
  <si>
    <t>phone package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</si>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</sst>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 applyBorder="1"/>
    <xf numFmtId="14" fontId="0" fillId="0" borderId="0" xfId="0" applyNumberFormat="1" applyFill="1"/>
    <xf numFmtId="0" fontId="0" fillId="0" borderId="0" xfId="0" applyBorder="1"/>
    <xf numFmtId="0" fontId="0" fillId="0" borderId="0" xfId="0" applyFill="1"/>
    <xf numFmtId="14" fontId="0" fillId="0" borderId="0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7" fontId="0" fillId="0" borderId="0" xfId="0" applyNumberFormat="1" applyFill="1"/>
    <xf numFmtId="17" fontId="0" fillId="2" borderId="0" xfId="0" applyNumberFormat="1" applyFill="1"/>
    <xf numFmtId="2" fontId="0" fillId="0" borderId="0" xfId="0" applyNumberFormat="1" applyFill="1" applyBorder="1"/>
    <xf numFmtId="0" fontId="0" fillId="0" borderId="0" xfId="0" applyFont="1" applyFill="1" applyBorder="1"/>
    <xf numFmtId="17" fontId="0" fillId="0" borderId="0" xfId="0" applyNumberFormat="1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7030A0"/>
      <rgbColor rgb="FFFFFFCC"/>
      <rgbColor rgb="FFE2F0D9"/>
      <rgbColor rgb="FF660066"/>
      <rgbColor rgb="FFFF8080"/>
      <rgbColor rgb="FF0066CC"/>
      <rgbColor rgb="FFF8CBA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C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"/>
  <sheetViews>
    <sheetView tabSelected="1" workbookViewId="0">
      <pane ySplit="1" topLeftCell="A2" activePane="bottomLeft" state="frozen"/>
      <selection activeCell="C1" sqref="C1"/>
      <selection pane="bottomLeft" activeCell="J16" sqref="J16"/>
    </sheetView>
  </sheetViews>
  <sheetFormatPr defaultRowHeight="15" x14ac:dyDescent="0.25"/>
  <cols>
    <col min="2" max="3" width="15" customWidth="1"/>
    <col min="4" max="4" width="32.140625" customWidth="1"/>
    <col min="8" max="8" width="12.28515625" bestFit="1" customWidth="1"/>
    <col min="11" max="11" width="11.28515625" bestFit="1" customWidth="1"/>
    <col min="19" max="19" width="10.7109375" customWidth="1"/>
  </cols>
  <sheetData>
    <row r="1" spans="1:10" x14ac:dyDescent="0.25">
      <c r="A1" s="8" t="s">
        <v>2</v>
      </c>
      <c r="B1" s="8" t="s">
        <v>118</v>
      </c>
      <c r="C1" s="9" t="s">
        <v>13</v>
      </c>
      <c r="D1" s="9" t="s">
        <v>3</v>
      </c>
      <c r="E1" s="9" t="s">
        <v>1</v>
      </c>
      <c r="H1" s="15" t="s">
        <v>126</v>
      </c>
    </row>
    <row r="2" spans="1:10" x14ac:dyDescent="0.25">
      <c r="A2" s="10">
        <v>45658</v>
      </c>
      <c r="B2" s="6" t="s">
        <v>4</v>
      </c>
      <c r="C2" s="4">
        <v>45658</v>
      </c>
      <c r="D2" s="6" t="s">
        <v>124</v>
      </c>
      <c r="E2" s="6">
        <v>987</v>
      </c>
      <c r="H2" s="6" t="s">
        <v>10</v>
      </c>
    </row>
    <row r="3" spans="1:10" x14ac:dyDescent="0.25">
      <c r="A3" s="10">
        <v>45658</v>
      </c>
      <c r="B3" s="6" t="s">
        <v>14</v>
      </c>
      <c r="C3" s="6"/>
      <c r="D3" s="6" t="s">
        <v>123</v>
      </c>
      <c r="E3" s="6">
        <v>0</v>
      </c>
      <c r="H3" s="6" t="s">
        <v>12</v>
      </c>
    </row>
    <row r="4" spans="1:10" x14ac:dyDescent="0.25">
      <c r="A4" s="10">
        <v>45658</v>
      </c>
      <c r="B4" s="6" t="s">
        <v>5</v>
      </c>
      <c r="C4" s="4">
        <v>45675</v>
      </c>
      <c r="D4" s="6" t="s">
        <v>125</v>
      </c>
      <c r="E4" s="6">
        <v>15</v>
      </c>
      <c r="F4" s="6"/>
      <c r="H4" s="6" t="s">
        <v>9</v>
      </c>
    </row>
    <row r="5" spans="1:10" x14ac:dyDescent="0.25">
      <c r="A5" s="10">
        <v>45658</v>
      </c>
      <c r="B5" s="6" t="s">
        <v>6</v>
      </c>
      <c r="C5" s="4"/>
      <c r="D5" s="6" t="s">
        <v>15</v>
      </c>
      <c r="E5" s="6">
        <v>100</v>
      </c>
      <c r="F5" s="6"/>
      <c r="H5" s="6" t="s">
        <v>11</v>
      </c>
    </row>
    <row r="6" spans="1:10" x14ac:dyDescent="0.25">
      <c r="A6" s="14">
        <v>45658</v>
      </c>
      <c r="B6" s="3" t="s">
        <v>16</v>
      </c>
      <c r="C6" s="7">
        <v>45664</v>
      </c>
      <c r="D6" s="3" t="s">
        <v>17</v>
      </c>
      <c r="E6" s="3">
        <v>1479.02</v>
      </c>
      <c r="F6" s="6"/>
      <c r="H6" s="6" t="s">
        <v>7</v>
      </c>
    </row>
    <row r="7" spans="1:10" x14ac:dyDescent="0.25">
      <c r="A7" s="14">
        <v>45658</v>
      </c>
      <c r="B7" s="3" t="s">
        <v>16</v>
      </c>
      <c r="C7" s="7">
        <v>45665</v>
      </c>
      <c r="D7" s="3" t="s">
        <v>18</v>
      </c>
      <c r="E7" s="3">
        <v>180</v>
      </c>
      <c r="F7" s="6"/>
      <c r="H7" s="6" t="s">
        <v>8</v>
      </c>
    </row>
    <row r="8" spans="1:10" x14ac:dyDescent="0.25">
      <c r="A8" s="14">
        <v>45658</v>
      </c>
      <c r="B8" s="3" t="s">
        <v>19</v>
      </c>
      <c r="C8" s="7"/>
      <c r="D8" s="3" t="s">
        <v>20</v>
      </c>
      <c r="E8" s="3"/>
      <c r="F8" s="6"/>
      <c r="H8" s="6" t="s">
        <v>19</v>
      </c>
    </row>
    <row r="9" spans="1:10" x14ac:dyDescent="0.25">
      <c r="A9" s="14">
        <v>45658</v>
      </c>
      <c r="B9" s="3" t="s">
        <v>16</v>
      </c>
      <c r="C9" s="7">
        <v>45612</v>
      </c>
      <c r="D9" s="3" t="s">
        <v>21</v>
      </c>
      <c r="E9" s="3">
        <v>129.83000000000001</v>
      </c>
      <c r="F9" s="6"/>
      <c r="H9" t="s">
        <v>16</v>
      </c>
    </row>
    <row r="10" spans="1:10" x14ac:dyDescent="0.25">
      <c r="A10" s="10">
        <v>45658</v>
      </c>
      <c r="B10" s="6" t="s">
        <v>12</v>
      </c>
      <c r="C10" s="4">
        <v>45660</v>
      </c>
      <c r="D10" s="3" t="s">
        <v>22</v>
      </c>
      <c r="E10" s="3">
        <v>32.82</v>
      </c>
      <c r="F10" s="6"/>
    </row>
    <row r="11" spans="1:10" x14ac:dyDescent="0.25">
      <c r="A11" s="10">
        <v>45658</v>
      </c>
      <c r="B11" s="6" t="s">
        <v>12</v>
      </c>
      <c r="C11" s="4">
        <v>45661</v>
      </c>
      <c r="D11" s="3" t="s">
        <v>23</v>
      </c>
      <c r="E11" s="6">
        <f>50.19+3.5</f>
        <v>53.69</v>
      </c>
      <c r="F11" s="6"/>
      <c r="I11" s="3"/>
      <c r="J11" s="3"/>
    </row>
    <row r="12" spans="1:10" x14ac:dyDescent="0.25">
      <c r="A12" s="10">
        <v>45658</v>
      </c>
      <c r="B12" s="6" t="s">
        <v>9</v>
      </c>
      <c r="C12" s="4">
        <v>45664</v>
      </c>
      <c r="D12" s="3" t="s">
        <v>24</v>
      </c>
      <c r="E12" s="6">
        <v>40</v>
      </c>
      <c r="F12" s="6"/>
      <c r="I12" s="7"/>
      <c r="J12" s="3"/>
    </row>
    <row r="13" spans="1:10" x14ac:dyDescent="0.25">
      <c r="A13" s="10">
        <v>45658</v>
      </c>
      <c r="B13" s="6" t="s">
        <v>12</v>
      </c>
      <c r="C13" s="4">
        <v>45666</v>
      </c>
      <c r="D13" s="6" t="s">
        <v>26</v>
      </c>
      <c r="E13" s="6">
        <v>22.62</v>
      </c>
      <c r="F13" s="6"/>
      <c r="I13" s="7"/>
      <c r="J13" s="3"/>
    </row>
    <row r="14" spans="1:10" x14ac:dyDescent="0.25">
      <c r="A14" s="10">
        <v>45658</v>
      </c>
      <c r="B14" s="6" t="s">
        <v>12</v>
      </c>
      <c r="C14" s="4">
        <v>45668</v>
      </c>
      <c r="D14" s="6" t="s">
        <v>27</v>
      </c>
      <c r="E14" s="6">
        <v>15.5</v>
      </c>
      <c r="I14" s="7"/>
      <c r="J14" s="3"/>
    </row>
    <row r="15" spans="1:10" x14ac:dyDescent="0.25">
      <c r="A15" s="10">
        <v>45658</v>
      </c>
      <c r="B15" s="6" t="s">
        <v>12</v>
      </c>
      <c r="C15" s="6"/>
      <c r="D15" s="6" t="s">
        <v>28</v>
      </c>
      <c r="E15" s="6">
        <v>55.87</v>
      </c>
      <c r="I15" s="7"/>
      <c r="J15" s="3"/>
    </row>
    <row r="16" spans="1:10" x14ac:dyDescent="0.25">
      <c r="A16" s="10">
        <v>45658</v>
      </c>
      <c r="B16" s="6" t="s">
        <v>8</v>
      </c>
      <c r="C16" s="6"/>
      <c r="D16" s="6" t="s">
        <v>29</v>
      </c>
      <c r="E16" s="6">
        <v>11</v>
      </c>
      <c r="I16" s="7"/>
      <c r="J16" s="3"/>
    </row>
    <row r="17" spans="1:12" x14ac:dyDescent="0.25">
      <c r="A17" s="10">
        <v>45658</v>
      </c>
      <c r="B17" s="6" t="s">
        <v>9</v>
      </c>
      <c r="C17" s="4">
        <v>45669</v>
      </c>
      <c r="D17" s="6" t="s">
        <v>30</v>
      </c>
      <c r="E17" s="6">
        <v>65.81</v>
      </c>
    </row>
    <row r="18" spans="1:12" x14ac:dyDescent="0.25">
      <c r="A18" s="10">
        <v>45658</v>
      </c>
      <c r="B18" s="6" t="s">
        <v>12</v>
      </c>
      <c r="C18" s="4">
        <v>45672</v>
      </c>
      <c r="D18" s="6" t="s">
        <v>22</v>
      </c>
      <c r="E18" s="6">
        <v>6.49</v>
      </c>
    </row>
    <row r="19" spans="1:12" x14ac:dyDescent="0.25">
      <c r="A19" s="10">
        <v>45658</v>
      </c>
      <c r="B19" s="6" t="s">
        <v>12</v>
      </c>
      <c r="C19" s="4">
        <v>45674</v>
      </c>
      <c r="D19" s="6" t="s">
        <v>31</v>
      </c>
      <c r="E19" s="6">
        <f>7.5+4.25</f>
        <v>11.75</v>
      </c>
    </row>
    <row r="20" spans="1:12" x14ac:dyDescent="0.25">
      <c r="A20" s="10">
        <v>45658</v>
      </c>
      <c r="B20" s="6" t="s">
        <v>12</v>
      </c>
      <c r="C20" s="4">
        <v>45675</v>
      </c>
      <c r="D20" s="6" t="s">
        <v>28</v>
      </c>
      <c r="E20" s="6">
        <v>47.49</v>
      </c>
      <c r="K20" s="3"/>
      <c r="L20" s="3"/>
    </row>
    <row r="21" spans="1:12" x14ac:dyDescent="0.25">
      <c r="A21" s="10">
        <v>45658</v>
      </c>
      <c r="B21" s="6" t="s">
        <v>12</v>
      </c>
      <c r="C21" s="4">
        <v>45679</v>
      </c>
      <c r="D21" s="6" t="s">
        <v>26</v>
      </c>
      <c r="E21" s="6">
        <v>47.92</v>
      </c>
      <c r="K21" s="3"/>
      <c r="L21" s="3"/>
    </row>
    <row r="22" spans="1:12" x14ac:dyDescent="0.25">
      <c r="A22" s="10">
        <v>45658</v>
      </c>
      <c r="B22" s="6" t="s">
        <v>12</v>
      </c>
      <c r="C22" s="4">
        <v>45680</v>
      </c>
      <c r="D22" s="6" t="s">
        <v>26</v>
      </c>
      <c r="E22" s="6">
        <v>9.57</v>
      </c>
      <c r="K22" s="3"/>
      <c r="L22" s="3"/>
    </row>
    <row r="23" spans="1:12" x14ac:dyDescent="0.25">
      <c r="A23" s="10">
        <v>45658</v>
      </c>
      <c r="B23" s="6" t="s">
        <v>12</v>
      </c>
      <c r="C23" s="4">
        <v>45683</v>
      </c>
      <c r="D23" s="6" t="s">
        <v>32</v>
      </c>
      <c r="E23" s="6">
        <v>42.98</v>
      </c>
      <c r="K23" s="3"/>
      <c r="L23" s="3"/>
    </row>
    <row r="24" spans="1:12" x14ac:dyDescent="0.25">
      <c r="A24" s="10">
        <v>45658</v>
      </c>
      <c r="B24" s="6" t="s">
        <v>12</v>
      </c>
      <c r="C24" s="4"/>
      <c r="D24" s="6" t="s">
        <v>26</v>
      </c>
      <c r="E24" s="6">
        <v>5.72</v>
      </c>
      <c r="K24" s="3"/>
      <c r="L24" s="3"/>
    </row>
    <row r="25" spans="1:12" x14ac:dyDescent="0.25">
      <c r="A25" s="11">
        <v>45658</v>
      </c>
      <c r="B25" s="2" t="s">
        <v>0</v>
      </c>
      <c r="C25" s="2"/>
      <c r="D25" s="2" t="s">
        <v>0</v>
      </c>
      <c r="E25" s="2">
        <f>SUM(E2:E24)</f>
        <v>3360.0799999999995</v>
      </c>
    </row>
    <row r="26" spans="1:12" x14ac:dyDescent="0.25">
      <c r="A26" t="s">
        <v>33</v>
      </c>
      <c r="B26" s="6" t="s">
        <v>33</v>
      </c>
      <c r="C26" t="s">
        <v>33</v>
      </c>
      <c r="D26" t="s">
        <v>33</v>
      </c>
      <c r="E26" t="s">
        <v>33</v>
      </c>
      <c r="K26" s="3"/>
      <c r="L26" s="3"/>
    </row>
    <row r="27" spans="1:12" x14ac:dyDescent="0.25">
      <c r="A27" s="10">
        <v>45689</v>
      </c>
      <c r="B27" s="6" t="s">
        <v>4</v>
      </c>
      <c r="C27" s="4">
        <v>45689</v>
      </c>
      <c r="D27" s="6" t="s">
        <v>124</v>
      </c>
      <c r="E27" s="6">
        <v>987</v>
      </c>
    </row>
    <row r="28" spans="1:12" x14ac:dyDescent="0.25">
      <c r="A28" s="10">
        <v>45689</v>
      </c>
      <c r="B28" s="6" t="s">
        <v>14</v>
      </c>
      <c r="C28" s="6"/>
      <c r="D28" s="6" t="s">
        <v>123</v>
      </c>
      <c r="E28" s="6">
        <v>198</v>
      </c>
    </row>
    <row r="29" spans="1:12" x14ac:dyDescent="0.25">
      <c r="A29" s="10">
        <v>45689</v>
      </c>
      <c r="B29" s="6" t="s">
        <v>5</v>
      </c>
      <c r="C29" s="6"/>
      <c r="D29" s="6" t="s">
        <v>125</v>
      </c>
      <c r="E29" s="6">
        <v>0</v>
      </c>
    </row>
    <row r="30" spans="1:12" x14ac:dyDescent="0.25">
      <c r="A30" s="10">
        <v>45689</v>
      </c>
      <c r="B30" s="6" t="s">
        <v>6</v>
      </c>
      <c r="C30" s="4"/>
      <c r="D30" s="6" t="s">
        <v>34</v>
      </c>
      <c r="E30" s="6">
        <v>50</v>
      </c>
    </row>
    <row r="31" spans="1:12" x14ac:dyDescent="0.25">
      <c r="A31" s="10">
        <v>45689</v>
      </c>
      <c r="B31" s="6" t="s">
        <v>12</v>
      </c>
      <c r="C31" s="4">
        <v>45689</v>
      </c>
      <c r="D31" s="3" t="s">
        <v>28</v>
      </c>
      <c r="E31" s="3">
        <f>122.96+4.09</f>
        <v>127.05</v>
      </c>
    </row>
    <row r="32" spans="1:12" x14ac:dyDescent="0.25">
      <c r="A32" s="10">
        <v>45689</v>
      </c>
      <c r="B32" s="6" t="s">
        <v>11</v>
      </c>
      <c r="C32" s="4">
        <v>45691</v>
      </c>
      <c r="D32" s="3" t="s">
        <v>25</v>
      </c>
      <c r="E32" s="3">
        <v>50</v>
      </c>
    </row>
    <row r="33" spans="1:7" x14ac:dyDescent="0.25">
      <c r="A33" s="10">
        <v>45689</v>
      </c>
      <c r="B33" s="6" t="s">
        <v>8</v>
      </c>
      <c r="C33" s="4">
        <v>45694</v>
      </c>
      <c r="D33" s="3" t="s">
        <v>35</v>
      </c>
      <c r="E33" s="3">
        <v>24.95</v>
      </c>
    </row>
    <row r="34" spans="1:7" x14ac:dyDescent="0.25">
      <c r="A34" s="10">
        <v>45689</v>
      </c>
      <c r="B34" s="6" t="s">
        <v>19</v>
      </c>
      <c r="C34" s="7"/>
      <c r="D34" s="5" t="s">
        <v>36</v>
      </c>
      <c r="E34" s="3">
        <v>20</v>
      </c>
    </row>
    <row r="35" spans="1:7" x14ac:dyDescent="0.25">
      <c r="A35" s="10">
        <v>45689</v>
      </c>
      <c r="B35" s="6" t="s">
        <v>12</v>
      </c>
      <c r="C35" s="4">
        <v>45697</v>
      </c>
      <c r="D35" s="3" t="s">
        <v>28</v>
      </c>
      <c r="E35" s="3">
        <v>62.53</v>
      </c>
    </row>
    <row r="36" spans="1:7" x14ac:dyDescent="0.25">
      <c r="A36" s="10">
        <v>45689</v>
      </c>
      <c r="B36" s="6" t="s">
        <v>12</v>
      </c>
      <c r="C36" s="6"/>
      <c r="D36" s="3" t="s">
        <v>23</v>
      </c>
      <c r="E36" s="3">
        <v>27.51</v>
      </c>
    </row>
    <row r="37" spans="1:7" x14ac:dyDescent="0.25">
      <c r="A37" s="10">
        <v>45689</v>
      </c>
      <c r="B37" s="6" t="s">
        <v>12</v>
      </c>
      <c r="C37" s="6"/>
      <c r="D37" s="3" t="s">
        <v>22</v>
      </c>
      <c r="E37" s="3">
        <v>22.23</v>
      </c>
    </row>
    <row r="38" spans="1:7" x14ac:dyDescent="0.25">
      <c r="A38" s="10">
        <v>45689</v>
      </c>
      <c r="B38" s="6" t="s">
        <v>11</v>
      </c>
      <c r="C38" s="4">
        <v>45700</v>
      </c>
      <c r="D38" s="3" t="s">
        <v>37</v>
      </c>
      <c r="E38" s="3">
        <v>18</v>
      </c>
    </row>
    <row r="39" spans="1:7" x14ac:dyDescent="0.25">
      <c r="A39" s="10">
        <v>45689</v>
      </c>
      <c r="B39" s="6" t="s">
        <v>7</v>
      </c>
      <c r="C39" s="4"/>
      <c r="D39" s="6" t="s">
        <v>38</v>
      </c>
      <c r="E39" s="6">
        <f>47.38+1.3</f>
        <v>48.68</v>
      </c>
    </row>
    <row r="40" spans="1:7" x14ac:dyDescent="0.25">
      <c r="A40" s="10">
        <v>45689</v>
      </c>
      <c r="B40" s="6" t="s">
        <v>12</v>
      </c>
      <c r="C40" s="4">
        <v>45701</v>
      </c>
      <c r="D40" s="3" t="s">
        <v>22</v>
      </c>
      <c r="E40" s="6">
        <v>11.58</v>
      </c>
      <c r="F40" s="6"/>
      <c r="G40" s="6"/>
    </row>
    <row r="41" spans="1:7" x14ac:dyDescent="0.25">
      <c r="A41" s="10">
        <v>45689</v>
      </c>
      <c r="B41" s="6" t="s">
        <v>11</v>
      </c>
      <c r="C41" s="4">
        <v>45702</v>
      </c>
      <c r="D41" s="6" t="s">
        <v>39</v>
      </c>
      <c r="E41" s="6">
        <v>13</v>
      </c>
      <c r="F41" s="6"/>
      <c r="G41" s="6"/>
    </row>
    <row r="42" spans="1:7" x14ac:dyDescent="0.25">
      <c r="A42" s="10">
        <v>45689</v>
      </c>
      <c r="B42" s="6" t="s">
        <v>19</v>
      </c>
      <c r="C42" s="4"/>
      <c r="D42" s="6" t="s">
        <v>40</v>
      </c>
      <c r="E42" s="6">
        <v>329.15</v>
      </c>
      <c r="F42" s="6"/>
      <c r="G42" s="6"/>
    </row>
    <row r="43" spans="1:7" x14ac:dyDescent="0.25">
      <c r="A43" s="10">
        <v>45689</v>
      </c>
      <c r="B43" s="6" t="s">
        <v>12</v>
      </c>
      <c r="C43" s="4">
        <v>45704</v>
      </c>
      <c r="D43" s="6" t="s">
        <v>28</v>
      </c>
      <c r="E43" s="6">
        <v>45.86</v>
      </c>
      <c r="F43" s="6"/>
      <c r="G43" s="6"/>
    </row>
    <row r="44" spans="1:7" x14ac:dyDescent="0.25">
      <c r="A44" s="10">
        <v>45689</v>
      </c>
      <c r="B44" s="6" t="s">
        <v>12</v>
      </c>
      <c r="C44" s="4"/>
      <c r="D44" s="6" t="s">
        <v>41</v>
      </c>
      <c r="E44" s="6">
        <v>11.27</v>
      </c>
      <c r="F44" s="6"/>
      <c r="G44" s="6"/>
    </row>
    <row r="45" spans="1:7" x14ac:dyDescent="0.25">
      <c r="A45" s="10">
        <v>45689</v>
      </c>
      <c r="B45" s="6" t="s">
        <v>12</v>
      </c>
      <c r="C45" s="4"/>
      <c r="D45" s="6" t="s">
        <v>42</v>
      </c>
      <c r="E45" s="6">
        <f>1.79+2.62+7.7+1.89</f>
        <v>14</v>
      </c>
      <c r="F45" s="6"/>
      <c r="G45" s="6"/>
    </row>
    <row r="46" spans="1:7" x14ac:dyDescent="0.25">
      <c r="A46" s="10">
        <v>45689</v>
      </c>
      <c r="B46" s="6" t="s">
        <v>12</v>
      </c>
      <c r="C46" s="4">
        <v>45710</v>
      </c>
      <c r="D46" s="6" t="s">
        <v>28</v>
      </c>
      <c r="E46" s="6">
        <v>59.69</v>
      </c>
      <c r="F46" s="6"/>
      <c r="G46" s="6"/>
    </row>
    <row r="47" spans="1:7" x14ac:dyDescent="0.25">
      <c r="A47" s="10">
        <v>45689</v>
      </c>
      <c r="B47" s="6" t="s">
        <v>12</v>
      </c>
      <c r="C47" s="4"/>
      <c r="D47" s="6" t="s">
        <v>41</v>
      </c>
      <c r="E47" s="6">
        <v>19.45</v>
      </c>
    </row>
    <row r="48" spans="1:7" x14ac:dyDescent="0.25">
      <c r="A48" s="10">
        <v>45689</v>
      </c>
      <c r="B48" s="6" t="s">
        <v>12</v>
      </c>
      <c r="C48" s="4"/>
      <c r="D48" s="6" t="s">
        <v>22</v>
      </c>
      <c r="E48" s="6">
        <v>18.87</v>
      </c>
    </row>
    <row r="49" spans="1:5" x14ac:dyDescent="0.25">
      <c r="A49" s="10">
        <v>45689</v>
      </c>
      <c r="B49" s="6" t="s">
        <v>12</v>
      </c>
      <c r="C49" s="4">
        <v>45716</v>
      </c>
      <c r="D49" s="6" t="s">
        <v>22</v>
      </c>
      <c r="E49" s="6">
        <v>25.49</v>
      </c>
    </row>
    <row r="50" spans="1:5" x14ac:dyDescent="0.25">
      <c r="A50" s="10">
        <v>45689</v>
      </c>
      <c r="B50" s="6" t="s">
        <v>7</v>
      </c>
      <c r="C50" s="4"/>
      <c r="D50" s="6" t="s">
        <v>43</v>
      </c>
      <c r="E50" s="6">
        <f>6.49+15</f>
        <v>21.490000000000002</v>
      </c>
    </row>
    <row r="51" spans="1:5" x14ac:dyDescent="0.25">
      <c r="A51" s="11">
        <v>45689</v>
      </c>
      <c r="B51" s="2" t="s">
        <v>0</v>
      </c>
      <c r="C51" s="2"/>
      <c r="D51" s="2" t="s">
        <v>0</v>
      </c>
      <c r="E51" s="2">
        <f>SUM(E27:E50)</f>
        <v>2205.7999999999988</v>
      </c>
    </row>
    <row r="52" spans="1:5" x14ac:dyDescent="0.25">
      <c r="A52" t="s">
        <v>33</v>
      </c>
      <c r="B52" s="6" t="s">
        <v>33</v>
      </c>
      <c r="C52" t="s">
        <v>33</v>
      </c>
      <c r="D52" t="s">
        <v>33</v>
      </c>
      <c r="E52" t="s">
        <v>33</v>
      </c>
    </row>
    <row r="53" spans="1:5" x14ac:dyDescent="0.25">
      <c r="A53" s="10">
        <v>45717</v>
      </c>
      <c r="B53" s="6" t="s">
        <v>4</v>
      </c>
      <c r="C53" s="4">
        <v>45717</v>
      </c>
      <c r="D53" s="6" t="s">
        <v>124</v>
      </c>
      <c r="E53" s="6">
        <v>987</v>
      </c>
    </row>
    <row r="54" spans="1:5" x14ac:dyDescent="0.25">
      <c r="A54" s="10">
        <v>45717</v>
      </c>
      <c r="B54" s="6" t="s">
        <v>14</v>
      </c>
      <c r="C54" s="6"/>
      <c r="D54" s="6" t="s">
        <v>123</v>
      </c>
      <c r="E54" s="6">
        <v>198</v>
      </c>
    </row>
    <row r="55" spans="1:5" x14ac:dyDescent="0.25">
      <c r="A55" s="10">
        <v>45717</v>
      </c>
      <c r="B55" s="6" t="s">
        <v>5</v>
      </c>
      <c r="C55" s="6"/>
      <c r="D55" s="6" t="s">
        <v>125</v>
      </c>
      <c r="E55" s="6">
        <v>0</v>
      </c>
    </row>
    <row r="56" spans="1:5" x14ac:dyDescent="0.25">
      <c r="A56" s="10">
        <v>45717</v>
      </c>
      <c r="B56" s="6" t="s">
        <v>6</v>
      </c>
      <c r="C56" s="4"/>
      <c r="D56" s="6" t="s">
        <v>44</v>
      </c>
      <c r="E56" s="6">
        <v>100</v>
      </c>
    </row>
    <row r="57" spans="1:5" x14ac:dyDescent="0.25">
      <c r="A57" s="10">
        <v>45717</v>
      </c>
      <c r="B57" s="6" t="s">
        <v>12</v>
      </c>
      <c r="C57" s="4">
        <v>45718</v>
      </c>
      <c r="D57" s="3" t="s">
        <v>28</v>
      </c>
      <c r="E57" s="3">
        <v>80.239999999999995</v>
      </c>
    </row>
    <row r="58" spans="1:5" x14ac:dyDescent="0.25">
      <c r="A58" s="10">
        <v>45717</v>
      </c>
      <c r="B58" s="6" t="s">
        <v>7</v>
      </c>
      <c r="C58" s="4"/>
      <c r="D58" s="3" t="s">
        <v>45</v>
      </c>
      <c r="E58" s="3">
        <v>27</v>
      </c>
    </row>
    <row r="59" spans="1:5" x14ac:dyDescent="0.25">
      <c r="A59" s="10">
        <v>45717</v>
      </c>
      <c r="B59" s="6" t="s">
        <v>7</v>
      </c>
      <c r="C59" s="4">
        <v>45721</v>
      </c>
      <c r="D59" s="3" t="s">
        <v>46</v>
      </c>
      <c r="E59" s="3">
        <v>13.98</v>
      </c>
    </row>
    <row r="60" spans="1:5" x14ac:dyDescent="0.25">
      <c r="A60" s="10">
        <v>45717</v>
      </c>
      <c r="B60" s="6" t="s">
        <v>12</v>
      </c>
      <c r="C60" s="7">
        <v>45722</v>
      </c>
      <c r="D60" s="3" t="s">
        <v>47</v>
      </c>
      <c r="E60" s="3">
        <v>3.85</v>
      </c>
    </row>
    <row r="61" spans="1:5" x14ac:dyDescent="0.25">
      <c r="A61" s="10">
        <v>45717</v>
      </c>
      <c r="B61" s="6" t="s">
        <v>19</v>
      </c>
      <c r="C61" s="4"/>
      <c r="D61" s="3" t="s">
        <v>48</v>
      </c>
      <c r="E61" s="3">
        <v>13</v>
      </c>
    </row>
    <row r="62" spans="1:5" x14ac:dyDescent="0.25">
      <c r="A62" s="10">
        <v>45717</v>
      </c>
      <c r="B62" s="6" t="s">
        <v>8</v>
      </c>
      <c r="C62" s="6"/>
      <c r="D62" s="3" t="s">
        <v>35</v>
      </c>
      <c r="E62" s="3">
        <v>19</v>
      </c>
    </row>
    <row r="63" spans="1:5" x14ac:dyDescent="0.25">
      <c r="A63" s="10">
        <v>45717</v>
      </c>
      <c r="B63" s="6" t="s">
        <v>9</v>
      </c>
      <c r="C63" s="6"/>
      <c r="D63" s="3" t="s">
        <v>24</v>
      </c>
      <c r="E63" s="3">
        <v>40</v>
      </c>
    </row>
    <row r="64" spans="1:5" x14ac:dyDescent="0.25">
      <c r="A64" s="10">
        <v>45717</v>
      </c>
      <c r="B64" s="6" t="s">
        <v>12</v>
      </c>
      <c r="C64" s="4">
        <v>45725</v>
      </c>
      <c r="D64" s="3" t="s">
        <v>28</v>
      </c>
      <c r="E64" s="3">
        <v>66.09</v>
      </c>
    </row>
    <row r="65" spans="1:5" x14ac:dyDescent="0.25">
      <c r="A65" s="10">
        <v>45717</v>
      </c>
      <c r="B65" s="6" t="s">
        <v>7</v>
      </c>
      <c r="C65" s="4"/>
      <c r="D65" s="3" t="s">
        <v>45</v>
      </c>
      <c r="E65" s="3">
        <v>40</v>
      </c>
    </row>
    <row r="66" spans="1:5" x14ac:dyDescent="0.25">
      <c r="A66" s="10">
        <v>45717</v>
      </c>
      <c r="B66" s="6" t="s">
        <v>11</v>
      </c>
      <c r="C66" s="4">
        <v>45727</v>
      </c>
      <c r="D66" s="3" t="s">
        <v>49</v>
      </c>
      <c r="E66" s="3">
        <v>0</v>
      </c>
    </row>
    <row r="67" spans="1:5" x14ac:dyDescent="0.25">
      <c r="A67" s="10">
        <v>45717</v>
      </c>
      <c r="B67" s="6" t="s">
        <v>12</v>
      </c>
      <c r="C67" s="4">
        <v>45732</v>
      </c>
      <c r="D67" s="6" t="s">
        <v>28</v>
      </c>
      <c r="E67" s="6">
        <v>83.33</v>
      </c>
    </row>
    <row r="68" spans="1:5" x14ac:dyDescent="0.25">
      <c r="A68" s="10">
        <v>45717</v>
      </c>
      <c r="B68" s="6" t="s">
        <v>12</v>
      </c>
      <c r="C68" s="4">
        <v>45739</v>
      </c>
      <c r="D68" s="6" t="s">
        <v>28</v>
      </c>
      <c r="E68" s="6">
        <v>59.74</v>
      </c>
    </row>
    <row r="69" spans="1:5" x14ac:dyDescent="0.25">
      <c r="A69" s="10">
        <v>45717</v>
      </c>
      <c r="B69" s="6" t="s">
        <v>12</v>
      </c>
      <c r="C69" s="4"/>
      <c r="D69" s="6" t="s">
        <v>50</v>
      </c>
      <c r="E69" s="6">
        <v>5.99</v>
      </c>
    </row>
    <row r="70" spans="1:5" x14ac:dyDescent="0.25">
      <c r="A70" s="10">
        <v>45717</v>
      </c>
      <c r="B70" s="6" t="s">
        <v>12</v>
      </c>
      <c r="C70" s="4"/>
      <c r="D70" s="6" t="s">
        <v>41</v>
      </c>
      <c r="E70" s="6">
        <f>33.21+3.35</f>
        <v>36.56</v>
      </c>
    </row>
    <row r="71" spans="1:5" x14ac:dyDescent="0.25">
      <c r="A71" s="10">
        <v>45717</v>
      </c>
      <c r="B71" s="6" t="s">
        <v>9</v>
      </c>
      <c r="C71" s="4">
        <v>45741</v>
      </c>
      <c r="D71" s="6" t="s">
        <v>51</v>
      </c>
      <c r="E71" s="6">
        <v>71.08</v>
      </c>
    </row>
    <row r="72" spans="1:5" x14ac:dyDescent="0.25">
      <c r="A72" s="10">
        <v>45717</v>
      </c>
      <c r="B72" s="6" t="s">
        <v>11</v>
      </c>
      <c r="C72" s="4">
        <v>45744</v>
      </c>
      <c r="D72" s="6" t="s">
        <v>52</v>
      </c>
      <c r="E72" s="6">
        <v>8.9</v>
      </c>
    </row>
    <row r="73" spans="1:5" x14ac:dyDescent="0.25">
      <c r="A73" s="10">
        <v>45717</v>
      </c>
      <c r="B73" s="6" t="s">
        <v>12</v>
      </c>
      <c r="C73" s="4">
        <v>45746</v>
      </c>
      <c r="D73" s="6" t="s">
        <v>32</v>
      </c>
      <c r="E73" s="6">
        <v>42.42</v>
      </c>
    </row>
    <row r="74" spans="1:5" x14ac:dyDescent="0.25">
      <c r="A74" s="10">
        <v>45717</v>
      </c>
      <c r="B74" s="6" t="s">
        <v>12</v>
      </c>
      <c r="C74" s="4"/>
      <c r="D74" s="6" t="s">
        <v>53</v>
      </c>
      <c r="E74" s="6">
        <f>5.5+4.95</f>
        <v>10.45</v>
      </c>
    </row>
    <row r="75" spans="1:5" x14ac:dyDescent="0.25">
      <c r="A75" s="10">
        <v>45717</v>
      </c>
      <c r="B75" s="6" t="s">
        <v>8</v>
      </c>
      <c r="C75" s="4"/>
      <c r="D75" s="6" t="s">
        <v>54</v>
      </c>
      <c r="E75" s="6">
        <f>22.5+6.5</f>
        <v>29</v>
      </c>
    </row>
    <row r="76" spans="1:5" x14ac:dyDescent="0.25">
      <c r="A76" s="10">
        <v>45717</v>
      </c>
      <c r="B76" s="6" t="s">
        <v>8</v>
      </c>
      <c r="C76" s="4"/>
      <c r="D76" s="6" t="s">
        <v>55</v>
      </c>
      <c r="E76" s="6">
        <v>18.600000000000001</v>
      </c>
    </row>
    <row r="77" spans="1:5" x14ac:dyDescent="0.25">
      <c r="A77" s="10">
        <v>45717</v>
      </c>
      <c r="B77" s="6" t="s">
        <v>12</v>
      </c>
      <c r="C77" s="4">
        <v>45747</v>
      </c>
      <c r="D77" s="6" t="s">
        <v>56</v>
      </c>
      <c r="E77" s="6">
        <v>4.25</v>
      </c>
    </row>
    <row r="78" spans="1:5" x14ac:dyDescent="0.25">
      <c r="A78" s="11">
        <v>45717</v>
      </c>
      <c r="B78" s="2" t="s">
        <v>0</v>
      </c>
      <c r="C78" s="2"/>
      <c r="D78" s="2" t="s">
        <v>0</v>
      </c>
      <c r="E78" s="2">
        <f>SUM(E53:E77)</f>
        <v>1958.4799999999998</v>
      </c>
    </row>
    <row r="79" spans="1:5" x14ac:dyDescent="0.25">
      <c r="A79" t="s">
        <v>33</v>
      </c>
      <c r="B79" s="6" t="s">
        <v>33</v>
      </c>
      <c r="C79" t="s">
        <v>33</v>
      </c>
      <c r="D79" t="s">
        <v>33</v>
      </c>
      <c r="E79" t="s">
        <v>33</v>
      </c>
    </row>
    <row r="80" spans="1:5" x14ac:dyDescent="0.25">
      <c r="A80" s="10">
        <v>45748</v>
      </c>
      <c r="B80" s="6" t="s">
        <v>4</v>
      </c>
      <c r="C80" s="4">
        <v>45748</v>
      </c>
      <c r="D80" s="6" t="s">
        <v>124</v>
      </c>
      <c r="E80" s="6">
        <v>987</v>
      </c>
    </row>
    <row r="81" spans="1:5" x14ac:dyDescent="0.25">
      <c r="A81" s="10">
        <v>45748</v>
      </c>
      <c r="B81" s="6" t="s">
        <v>14</v>
      </c>
      <c r="C81" s="6"/>
      <c r="D81" s="6" t="s">
        <v>123</v>
      </c>
      <c r="E81" s="6">
        <v>198</v>
      </c>
    </row>
    <row r="82" spans="1:5" x14ac:dyDescent="0.25">
      <c r="A82" s="10">
        <v>45748</v>
      </c>
      <c r="B82" s="6" t="s">
        <v>5</v>
      </c>
      <c r="C82" s="6"/>
      <c r="D82" s="6" t="s">
        <v>125</v>
      </c>
      <c r="E82" s="6">
        <v>0</v>
      </c>
    </row>
    <row r="83" spans="1:5" x14ac:dyDescent="0.25">
      <c r="A83" s="10">
        <v>45748</v>
      </c>
      <c r="B83" s="6" t="s">
        <v>6</v>
      </c>
      <c r="C83" s="4"/>
      <c r="D83" s="6" t="s">
        <v>57</v>
      </c>
      <c r="E83" s="6">
        <v>100</v>
      </c>
    </row>
    <row r="84" spans="1:5" x14ac:dyDescent="0.25">
      <c r="A84" s="10">
        <v>45748</v>
      </c>
      <c r="B84" s="6" t="s">
        <v>11</v>
      </c>
      <c r="C84" s="4">
        <v>45750</v>
      </c>
      <c r="D84" s="3" t="s">
        <v>58</v>
      </c>
      <c r="E84" s="3">
        <v>0</v>
      </c>
    </row>
    <row r="85" spans="1:5" x14ac:dyDescent="0.25">
      <c r="A85" s="10">
        <v>45748</v>
      </c>
      <c r="B85" s="6" t="s">
        <v>11</v>
      </c>
      <c r="C85" s="4"/>
      <c r="D85" s="3" t="s">
        <v>59</v>
      </c>
      <c r="E85" s="3">
        <v>0</v>
      </c>
    </row>
    <row r="86" spans="1:5" x14ac:dyDescent="0.25">
      <c r="A86" s="10">
        <v>45748</v>
      </c>
      <c r="B86" s="6" t="s">
        <v>11</v>
      </c>
      <c r="C86" s="4">
        <v>45757</v>
      </c>
      <c r="D86" s="3" t="s">
        <v>60</v>
      </c>
      <c r="E86" s="3">
        <v>0</v>
      </c>
    </row>
    <row r="87" spans="1:5" x14ac:dyDescent="0.25">
      <c r="A87" s="10">
        <v>45748</v>
      </c>
      <c r="B87" s="6" t="s">
        <v>12</v>
      </c>
      <c r="C87" s="4">
        <v>45753</v>
      </c>
      <c r="D87" s="3" t="s">
        <v>32</v>
      </c>
      <c r="E87" s="3">
        <v>69.34</v>
      </c>
    </row>
    <row r="88" spans="1:5" x14ac:dyDescent="0.25">
      <c r="A88" s="10">
        <v>45748</v>
      </c>
      <c r="B88" s="6" t="s">
        <v>11</v>
      </c>
      <c r="C88" s="7">
        <v>45758</v>
      </c>
      <c r="D88" s="3" t="s">
        <v>37</v>
      </c>
      <c r="E88" s="3">
        <v>18</v>
      </c>
    </row>
    <row r="89" spans="1:5" x14ac:dyDescent="0.25">
      <c r="A89" s="10">
        <v>45748</v>
      </c>
      <c r="B89" s="6" t="s">
        <v>12</v>
      </c>
      <c r="C89" s="4">
        <v>45760</v>
      </c>
      <c r="D89" s="3" t="s">
        <v>28</v>
      </c>
      <c r="E89" s="3">
        <v>109.79</v>
      </c>
    </row>
    <row r="90" spans="1:5" x14ac:dyDescent="0.25">
      <c r="A90" s="10">
        <v>45748</v>
      </c>
      <c r="B90" s="6" t="s">
        <v>12</v>
      </c>
      <c r="C90" s="6"/>
      <c r="D90" s="3" t="s">
        <v>41</v>
      </c>
      <c r="E90" s="3">
        <v>24.45</v>
      </c>
    </row>
    <row r="91" spans="1:5" x14ac:dyDescent="0.25">
      <c r="A91" s="10">
        <v>45748</v>
      </c>
      <c r="B91" s="6" t="s">
        <v>12</v>
      </c>
      <c r="C91" s="6"/>
      <c r="D91" s="3" t="s">
        <v>23</v>
      </c>
      <c r="E91" s="3">
        <v>19.04</v>
      </c>
    </row>
    <row r="92" spans="1:5" x14ac:dyDescent="0.25">
      <c r="A92" s="10">
        <v>45748</v>
      </c>
      <c r="B92" s="6" t="s">
        <v>9</v>
      </c>
      <c r="C92" s="6"/>
      <c r="D92" s="3" t="s">
        <v>24</v>
      </c>
      <c r="E92" s="3">
        <v>40</v>
      </c>
    </row>
    <row r="93" spans="1:5" x14ac:dyDescent="0.25">
      <c r="A93" s="10">
        <v>45748</v>
      </c>
      <c r="B93" s="6" t="s">
        <v>12</v>
      </c>
      <c r="C93" s="4">
        <v>45764</v>
      </c>
      <c r="D93" s="3" t="s">
        <v>61</v>
      </c>
      <c r="E93" s="3">
        <f>23.53+2</f>
        <v>25.53</v>
      </c>
    </row>
    <row r="94" spans="1:5" x14ac:dyDescent="0.25">
      <c r="A94" s="10">
        <v>45748</v>
      </c>
      <c r="B94" s="6" t="s">
        <v>12</v>
      </c>
      <c r="C94" s="4">
        <v>45767</v>
      </c>
      <c r="D94" s="3" t="s">
        <v>28</v>
      </c>
      <c r="E94" s="3">
        <v>73.19</v>
      </c>
    </row>
    <row r="95" spans="1:5" x14ac:dyDescent="0.25">
      <c r="A95" s="10">
        <v>45748</v>
      </c>
      <c r="B95" s="6" t="s">
        <v>12</v>
      </c>
      <c r="C95" s="4">
        <v>45774</v>
      </c>
      <c r="D95" s="3" t="s">
        <v>28</v>
      </c>
      <c r="E95" s="3">
        <v>90.93</v>
      </c>
    </row>
    <row r="96" spans="1:5" x14ac:dyDescent="0.25">
      <c r="A96" s="11">
        <v>45748</v>
      </c>
      <c r="B96" s="2" t="s">
        <v>0</v>
      </c>
      <c r="C96" s="2"/>
      <c r="D96" s="2" t="s">
        <v>0</v>
      </c>
      <c r="E96" s="2">
        <f>SUM(E80:E95)</f>
        <v>1755.27</v>
      </c>
    </row>
    <row r="97" spans="1:12" x14ac:dyDescent="0.25">
      <c r="A97" t="s">
        <v>33</v>
      </c>
      <c r="B97" s="6" t="s">
        <v>33</v>
      </c>
      <c r="C97" t="s">
        <v>33</v>
      </c>
      <c r="D97" t="s">
        <v>33</v>
      </c>
      <c r="E97" t="s">
        <v>33</v>
      </c>
    </row>
    <row r="98" spans="1:12" x14ac:dyDescent="0.25">
      <c r="A98" s="10">
        <v>45778</v>
      </c>
      <c r="B98" s="6" t="s">
        <v>4</v>
      </c>
      <c r="C98" s="4">
        <v>45778</v>
      </c>
      <c r="D98" s="6" t="s">
        <v>124</v>
      </c>
      <c r="E98" s="6">
        <v>987</v>
      </c>
      <c r="H98" s="6"/>
      <c r="I98" s="6"/>
      <c r="J98" s="6"/>
      <c r="K98" s="6"/>
      <c r="L98" s="6"/>
    </row>
    <row r="99" spans="1:12" x14ac:dyDescent="0.25">
      <c r="A99" s="10">
        <v>45778</v>
      </c>
      <c r="B99" s="6" t="s">
        <v>14</v>
      </c>
      <c r="C99" s="6"/>
      <c r="D99" s="6" t="s">
        <v>123</v>
      </c>
      <c r="E99" s="6">
        <v>198</v>
      </c>
      <c r="H99" s="6"/>
      <c r="I99" s="6"/>
      <c r="J99" s="6"/>
      <c r="K99" s="6"/>
      <c r="L99" s="6"/>
    </row>
    <row r="100" spans="1:12" x14ac:dyDescent="0.25">
      <c r="A100" s="10">
        <v>45778</v>
      </c>
      <c r="B100" s="6" t="s">
        <v>5</v>
      </c>
      <c r="C100" s="6"/>
      <c r="D100" s="6" t="s">
        <v>125</v>
      </c>
      <c r="E100" s="6">
        <v>0</v>
      </c>
      <c r="H100" s="6"/>
      <c r="I100" s="3"/>
      <c r="J100" s="6"/>
      <c r="K100" s="3"/>
      <c r="L100" s="6"/>
    </row>
    <row r="101" spans="1:12" x14ac:dyDescent="0.25">
      <c r="A101" s="10">
        <v>45778</v>
      </c>
      <c r="B101" s="6" t="s">
        <v>6</v>
      </c>
      <c r="C101" s="4"/>
      <c r="D101" s="6" t="s">
        <v>62</v>
      </c>
      <c r="E101" s="6">
        <v>100</v>
      </c>
      <c r="H101" s="6"/>
      <c r="I101" s="3"/>
      <c r="J101" s="6"/>
      <c r="K101" s="3"/>
      <c r="L101" s="6"/>
    </row>
    <row r="102" spans="1:12" x14ac:dyDescent="0.25">
      <c r="A102" s="10">
        <v>45778</v>
      </c>
      <c r="B102" s="6" t="s">
        <v>12</v>
      </c>
      <c r="C102" s="4">
        <v>45781</v>
      </c>
      <c r="D102" s="3" t="s">
        <v>32</v>
      </c>
      <c r="E102" s="3">
        <v>101.1</v>
      </c>
      <c r="H102" s="6"/>
      <c r="I102" s="3"/>
      <c r="J102" s="6"/>
      <c r="K102" s="3"/>
      <c r="L102" s="6"/>
    </row>
    <row r="103" spans="1:12" x14ac:dyDescent="0.25">
      <c r="A103" s="10">
        <v>45778</v>
      </c>
      <c r="B103" s="6" t="s">
        <v>12</v>
      </c>
      <c r="C103" s="4"/>
      <c r="D103" s="3" t="s">
        <v>63</v>
      </c>
      <c r="E103" s="3">
        <v>6.18</v>
      </c>
      <c r="H103" s="4"/>
      <c r="I103" s="6"/>
      <c r="J103" s="6"/>
      <c r="K103" s="6"/>
      <c r="L103" s="6"/>
    </row>
    <row r="104" spans="1:12" x14ac:dyDescent="0.25">
      <c r="A104" s="10">
        <v>45778</v>
      </c>
      <c r="B104" s="6" t="s">
        <v>12</v>
      </c>
      <c r="C104" s="4"/>
      <c r="D104" s="3" t="s">
        <v>64</v>
      </c>
      <c r="E104" s="3">
        <v>17.03</v>
      </c>
      <c r="H104" s="6"/>
      <c r="I104" s="6"/>
      <c r="J104" s="6"/>
      <c r="K104" s="6"/>
      <c r="L104" s="6"/>
    </row>
    <row r="105" spans="1:12" x14ac:dyDescent="0.25">
      <c r="A105" s="10">
        <v>45778</v>
      </c>
      <c r="B105" s="6" t="s">
        <v>11</v>
      </c>
      <c r="C105" s="4">
        <v>45783</v>
      </c>
      <c r="D105" s="3" t="s">
        <v>25</v>
      </c>
      <c r="E105" s="3">
        <v>15</v>
      </c>
      <c r="H105" s="6"/>
      <c r="I105" s="6"/>
      <c r="J105" s="6"/>
      <c r="K105" s="6"/>
      <c r="L105" s="6"/>
    </row>
    <row r="106" spans="1:12" x14ac:dyDescent="0.25">
      <c r="A106" s="10">
        <v>45778</v>
      </c>
      <c r="B106" s="6" t="s">
        <v>12</v>
      </c>
      <c r="C106" s="7">
        <v>45784</v>
      </c>
      <c r="D106" s="3" t="s">
        <v>65</v>
      </c>
      <c r="E106" s="3">
        <v>4.25</v>
      </c>
      <c r="H106" s="6"/>
      <c r="I106" s="6"/>
      <c r="J106" s="6"/>
      <c r="K106" s="6"/>
      <c r="L106" s="6"/>
    </row>
    <row r="107" spans="1:12" x14ac:dyDescent="0.25">
      <c r="A107" s="10">
        <v>45778</v>
      </c>
      <c r="B107" s="6" t="s">
        <v>12</v>
      </c>
      <c r="C107" s="4"/>
      <c r="D107" s="3" t="s">
        <v>66</v>
      </c>
      <c r="E107" s="3">
        <v>28.21</v>
      </c>
      <c r="H107" s="4"/>
      <c r="I107" s="6"/>
      <c r="J107" s="6"/>
      <c r="K107" s="6"/>
      <c r="L107" s="6"/>
    </row>
    <row r="108" spans="1:12" x14ac:dyDescent="0.25">
      <c r="A108" s="10">
        <v>45778</v>
      </c>
      <c r="B108" s="6" t="s">
        <v>8</v>
      </c>
      <c r="C108" s="6"/>
      <c r="D108" s="3" t="s">
        <v>67</v>
      </c>
      <c r="E108" s="3">
        <v>13</v>
      </c>
      <c r="H108" s="4"/>
      <c r="I108" s="6"/>
      <c r="J108" s="6"/>
      <c r="K108" s="6"/>
      <c r="L108" s="6"/>
    </row>
    <row r="109" spans="1:12" x14ac:dyDescent="0.25">
      <c r="A109" s="10">
        <v>45778</v>
      </c>
      <c r="B109" s="6" t="s">
        <v>12</v>
      </c>
      <c r="C109" s="4">
        <v>45786</v>
      </c>
      <c r="D109" s="3" t="s">
        <v>61</v>
      </c>
      <c r="E109" s="3">
        <v>11.83</v>
      </c>
      <c r="H109" s="6"/>
      <c r="I109" s="6"/>
      <c r="J109" s="6"/>
      <c r="K109" s="6"/>
      <c r="L109" s="6"/>
    </row>
    <row r="110" spans="1:12" x14ac:dyDescent="0.25">
      <c r="A110" s="10">
        <v>45778</v>
      </c>
      <c r="B110" s="6" t="s">
        <v>8</v>
      </c>
      <c r="C110" s="4">
        <v>45787</v>
      </c>
      <c r="D110" s="3" t="s">
        <v>68</v>
      </c>
      <c r="E110" s="3">
        <v>27.2</v>
      </c>
      <c r="H110" s="6"/>
      <c r="I110" s="6"/>
      <c r="J110" s="6"/>
      <c r="K110" s="6"/>
      <c r="L110" s="6"/>
    </row>
    <row r="111" spans="1:12" x14ac:dyDescent="0.25">
      <c r="A111" s="10">
        <v>45778</v>
      </c>
      <c r="B111" s="6" t="s">
        <v>12</v>
      </c>
      <c r="C111" s="4"/>
      <c r="D111" s="3" t="s">
        <v>66</v>
      </c>
      <c r="E111" s="3">
        <v>3.98</v>
      </c>
      <c r="K111" s="6"/>
    </row>
    <row r="112" spans="1:12" x14ac:dyDescent="0.25">
      <c r="A112" s="10">
        <v>45778</v>
      </c>
      <c r="B112" s="6" t="s">
        <v>8</v>
      </c>
      <c r="C112" s="4"/>
      <c r="D112" s="3" t="s">
        <v>67</v>
      </c>
      <c r="E112" s="3">
        <v>11.9</v>
      </c>
      <c r="K112" s="6"/>
    </row>
    <row r="113" spans="1:5" x14ac:dyDescent="0.25">
      <c r="A113" s="10">
        <v>45778</v>
      </c>
      <c r="B113" s="6" t="s">
        <v>7</v>
      </c>
      <c r="C113" s="4"/>
      <c r="D113" s="3" t="s">
        <v>69</v>
      </c>
      <c r="E113" s="3">
        <v>0</v>
      </c>
    </row>
    <row r="114" spans="1:5" x14ac:dyDescent="0.25">
      <c r="A114" s="10">
        <v>45778</v>
      </c>
      <c r="B114" s="6" t="s">
        <v>12</v>
      </c>
      <c r="C114" s="4">
        <v>45788</v>
      </c>
      <c r="D114" s="3" t="s">
        <v>28</v>
      </c>
      <c r="E114" s="3">
        <v>56.47</v>
      </c>
    </row>
    <row r="115" spans="1:5" x14ac:dyDescent="0.25">
      <c r="A115" s="10">
        <v>45778</v>
      </c>
      <c r="B115" s="6" t="s">
        <v>8</v>
      </c>
      <c r="C115" s="4">
        <v>45789</v>
      </c>
      <c r="D115" s="3" t="s">
        <v>70</v>
      </c>
      <c r="E115" s="3">
        <f>9+3.74</f>
        <v>12.74</v>
      </c>
    </row>
    <row r="116" spans="1:5" x14ac:dyDescent="0.25">
      <c r="A116" s="10">
        <v>45778</v>
      </c>
      <c r="B116" s="6" t="s">
        <v>8</v>
      </c>
      <c r="C116" s="4">
        <v>45790</v>
      </c>
      <c r="D116" s="3" t="s">
        <v>71</v>
      </c>
      <c r="E116" s="3">
        <v>3.8</v>
      </c>
    </row>
    <row r="117" spans="1:5" x14ac:dyDescent="0.25">
      <c r="A117" s="10">
        <v>45778</v>
      </c>
      <c r="B117" s="6" t="s">
        <v>12</v>
      </c>
      <c r="C117" s="4"/>
      <c r="D117" s="3" t="s">
        <v>72</v>
      </c>
      <c r="E117" s="3">
        <f>4+4.19</f>
        <v>8.1900000000000013</v>
      </c>
    </row>
    <row r="118" spans="1:5" x14ac:dyDescent="0.25">
      <c r="A118" s="10">
        <v>45778</v>
      </c>
      <c r="B118" s="6" t="s">
        <v>12</v>
      </c>
      <c r="C118" s="4">
        <v>45793</v>
      </c>
      <c r="D118" s="3" t="s">
        <v>73</v>
      </c>
      <c r="E118" s="3">
        <v>3.25</v>
      </c>
    </row>
    <row r="119" spans="1:5" x14ac:dyDescent="0.25">
      <c r="A119" s="10">
        <v>45778</v>
      </c>
      <c r="B119" s="6" t="s">
        <v>12</v>
      </c>
      <c r="C119" s="4"/>
      <c r="D119" s="3" t="s">
        <v>22</v>
      </c>
      <c r="E119" s="3">
        <v>31.22</v>
      </c>
    </row>
    <row r="120" spans="1:5" x14ac:dyDescent="0.25">
      <c r="A120" s="10">
        <v>45778</v>
      </c>
      <c r="B120" s="6" t="s">
        <v>8</v>
      </c>
      <c r="C120" s="4">
        <v>45794</v>
      </c>
      <c r="D120" s="3" t="s">
        <v>67</v>
      </c>
      <c r="E120" s="3">
        <v>7</v>
      </c>
    </row>
    <row r="121" spans="1:5" x14ac:dyDescent="0.25">
      <c r="A121" s="10">
        <v>45778</v>
      </c>
      <c r="B121" s="6" t="s">
        <v>12</v>
      </c>
      <c r="C121" s="4">
        <v>45795</v>
      </c>
      <c r="D121" s="3" t="s">
        <v>28</v>
      </c>
      <c r="E121" s="3">
        <v>82.5</v>
      </c>
    </row>
    <row r="122" spans="1:5" x14ac:dyDescent="0.25">
      <c r="A122" s="10">
        <v>45778</v>
      </c>
      <c r="B122" s="6" t="s">
        <v>9</v>
      </c>
      <c r="C122" s="4">
        <v>45800</v>
      </c>
      <c r="D122" s="6" t="s">
        <v>24</v>
      </c>
      <c r="E122" s="6">
        <v>40</v>
      </c>
    </row>
    <row r="123" spans="1:5" x14ac:dyDescent="0.25">
      <c r="A123" s="10">
        <v>45778</v>
      </c>
      <c r="B123" s="6" t="s">
        <v>8</v>
      </c>
      <c r="C123" s="4">
        <v>45801</v>
      </c>
      <c r="D123" s="6" t="s">
        <v>74</v>
      </c>
      <c r="E123" s="6">
        <v>23</v>
      </c>
    </row>
    <row r="124" spans="1:5" x14ac:dyDescent="0.25">
      <c r="A124" s="10">
        <v>45778</v>
      </c>
      <c r="B124" s="6" t="s">
        <v>12</v>
      </c>
      <c r="C124" s="4">
        <v>45802</v>
      </c>
      <c r="D124" s="3" t="s">
        <v>28</v>
      </c>
      <c r="E124" s="6">
        <v>68.209999999999994</v>
      </c>
    </row>
    <row r="125" spans="1:5" x14ac:dyDescent="0.25">
      <c r="A125" s="10">
        <v>45778</v>
      </c>
      <c r="B125" s="6" t="s">
        <v>12</v>
      </c>
      <c r="C125" s="4"/>
      <c r="D125" s="3" t="s">
        <v>41</v>
      </c>
      <c r="E125" s="6">
        <v>45.02</v>
      </c>
    </row>
    <row r="126" spans="1:5" x14ac:dyDescent="0.25">
      <c r="A126" s="11">
        <v>45778</v>
      </c>
      <c r="B126" s="2" t="s">
        <v>0</v>
      </c>
      <c r="C126" s="2"/>
      <c r="D126" s="2" t="s">
        <v>0</v>
      </c>
      <c r="E126" s="2">
        <f>SUM(E98:E125)</f>
        <v>1906.0800000000002</v>
      </c>
    </row>
    <row r="127" spans="1:5" x14ac:dyDescent="0.25">
      <c r="A127" t="s">
        <v>33</v>
      </c>
      <c r="B127" s="6" t="s">
        <v>33</v>
      </c>
      <c r="C127" t="s">
        <v>33</v>
      </c>
      <c r="D127" t="s">
        <v>33</v>
      </c>
      <c r="E127" t="s">
        <v>33</v>
      </c>
    </row>
    <row r="128" spans="1:5" x14ac:dyDescent="0.25">
      <c r="A128" s="10">
        <v>45809</v>
      </c>
      <c r="B128" s="6" t="s">
        <v>4</v>
      </c>
      <c r="C128" s="4">
        <v>45809</v>
      </c>
      <c r="D128" s="6" t="s">
        <v>124</v>
      </c>
      <c r="E128" s="6">
        <v>987</v>
      </c>
    </row>
    <row r="129" spans="1:5" x14ac:dyDescent="0.25">
      <c r="A129" s="10">
        <v>45809</v>
      </c>
      <c r="B129" s="6" t="s">
        <v>14</v>
      </c>
      <c r="C129" s="6"/>
      <c r="D129" s="6" t="s">
        <v>123</v>
      </c>
      <c r="E129" s="6">
        <v>198</v>
      </c>
    </row>
    <row r="130" spans="1:5" x14ac:dyDescent="0.25">
      <c r="A130" s="10">
        <v>45809</v>
      </c>
      <c r="B130" s="6" t="s">
        <v>5</v>
      </c>
      <c r="C130" s="6"/>
      <c r="D130" s="6" t="s">
        <v>125</v>
      </c>
      <c r="E130" s="6">
        <v>0</v>
      </c>
    </row>
    <row r="131" spans="1:5" x14ac:dyDescent="0.25">
      <c r="A131" s="10">
        <v>45809</v>
      </c>
      <c r="B131" s="6" t="s">
        <v>6</v>
      </c>
      <c r="C131" s="4"/>
      <c r="D131" s="6" t="s">
        <v>75</v>
      </c>
      <c r="E131" s="6">
        <v>100</v>
      </c>
    </row>
    <row r="132" spans="1:5" x14ac:dyDescent="0.25">
      <c r="A132" s="10">
        <v>45809</v>
      </c>
      <c r="B132" s="6" t="s">
        <v>12</v>
      </c>
      <c r="C132" s="4">
        <v>45809</v>
      </c>
      <c r="D132" s="3" t="s">
        <v>32</v>
      </c>
      <c r="E132" s="3">
        <v>107.2</v>
      </c>
    </row>
    <row r="133" spans="1:5" x14ac:dyDescent="0.25">
      <c r="A133" s="10">
        <v>45809</v>
      </c>
      <c r="B133" s="6" t="s">
        <v>12</v>
      </c>
      <c r="C133" s="4">
        <v>45813</v>
      </c>
      <c r="D133" s="3" t="s">
        <v>22</v>
      </c>
      <c r="E133" s="3">
        <v>4.49</v>
      </c>
    </row>
    <row r="134" spans="1:5" x14ac:dyDescent="0.25">
      <c r="A134" s="10">
        <v>45809</v>
      </c>
      <c r="B134" s="6" t="s">
        <v>11</v>
      </c>
      <c r="C134" s="4">
        <v>45815</v>
      </c>
      <c r="D134" s="3" t="s">
        <v>37</v>
      </c>
      <c r="E134" s="3">
        <v>19</v>
      </c>
    </row>
    <row r="135" spans="1:5" x14ac:dyDescent="0.25">
      <c r="A135" s="10">
        <v>45809</v>
      </c>
      <c r="B135" s="6" t="s">
        <v>12</v>
      </c>
      <c r="C135" s="4">
        <v>45816</v>
      </c>
      <c r="D135" s="3" t="s">
        <v>32</v>
      </c>
      <c r="E135" s="3">
        <v>85.24</v>
      </c>
    </row>
    <row r="136" spans="1:5" x14ac:dyDescent="0.25">
      <c r="A136" s="10">
        <v>45809</v>
      </c>
      <c r="B136" s="6" t="s">
        <v>12</v>
      </c>
      <c r="C136" s="4"/>
      <c r="D136" s="3" t="s">
        <v>76</v>
      </c>
      <c r="E136" s="3">
        <v>28.47</v>
      </c>
    </row>
    <row r="137" spans="1:5" x14ac:dyDescent="0.25">
      <c r="A137" s="10">
        <v>45809</v>
      </c>
      <c r="B137" s="6" t="s">
        <v>8</v>
      </c>
      <c r="C137" s="4">
        <v>45822</v>
      </c>
      <c r="D137" s="3" t="s">
        <v>77</v>
      </c>
      <c r="E137" s="3">
        <v>27.1</v>
      </c>
    </row>
    <row r="138" spans="1:5" x14ac:dyDescent="0.25">
      <c r="A138" s="10">
        <v>45809</v>
      </c>
      <c r="B138" s="6" t="s">
        <v>12</v>
      </c>
      <c r="C138" s="4">
        <v>45823</v>
      </c>
      <c r="D138" s="3" t="s">
        <v>28</v>
      </c>
      <c r="E138" s="3">
        <v>96.59</v>
      </c>
    </row>
    <row r="139" spans="1:5" x14ac:dyDescent="0.25">
      <c r="A139" s="10">
        <v>45809</v>
      </c>
      <c r="B139" s="6" t="s">
        <v>8</v>
      </c>
      <c r="C139" s="4">
        <v>45827</v>
      </c>
      <c r="D139" s="3" t="s">
        <v>67</v>
      </c>
      <c r="E139" s="3">
        <v>7</v>
      </c>
    </row>
    <row r="140" spans="1:5" x14ac:dyDescent="0.25">
      <c r="A140" s="10">
        <v>45809</v>
      </c>
      <c r="B140" s="6" t="s">
        <v>8</v>
      </c>
      <c r="C140" s="4"/>
      <c r="D140" s="3" t="s">
        <v>35</v>
      </c>
      <c r="E140" s="3">
        <v>55</v>
      </c>
    </row>
    <row r="141" spans="1:5" x14ac:dyDescent="0.25">
      <c r="A141" s="10">
        <v>45809</v>
      </c>
      <c r="B141" s="6" t="s">
        <v>12</v>
      </c>
      <c r="C141" s="4">
        <v>45830</v>
      </c>
      <c r="D141" s="3" t="s">
        <v>28</v>
      </c>
      <c r="E141" s="3">
        <v>79.72</v>
      </c>
    </row>
    <row r="142" spans="1:5" x14ac:dyDescent="0.25">
      <c r="A142" s="10">
        <v>45809</v>
      </c>
      <c r="B142" s="6" t="s">
        <v>7</v>
      </c>
      <c r="C142" s="4"/>
      <c r="D142" s="3" t="s">
        <v>78</v>
      </c>
      <c r="E142" s="3">
        <v>41.46</v>
      </c>
    </row>
    <row r="143" spans="1:5" x14ac:dyDescent="0.25">
      <c r="A143" s="10">
        <v>45809</v>
      </c>
      <c r="B143" s="6" t="s">
        <v>12</v>
      </c>
      <c r="C143" s="4">
        <v>45833</v>
      </c>
      <c r="D143" s="3" t="s">
        <v>22</v>
      </c>
      <c r="E143" s="3">
        <v>19.05</v>
      </c>
    </row>
    <row r="144" spans="1:5" x14ac:dyDescent="0.25">
      <c r="A144" s="10">
        <v>45809</v>
      </c>
      <c r="B144" s="6" t="s">
        <v>9</v>
      </c>
      <c r="C144" s="4">
        <v>45835</v>
      </c>
      <c r="D144" s="6" t="s">
        <v>79</v>
      </c>
      <c r="E144" s="3">
        <v>63.03</v>
      </c>
    </row>
    <row r="145" spans="1:5" x14ac:dyDescent="0.25">
      <c r="A145" s="10">
        <v>45809</v>
      </c>
      <c r="B145" s="6" t="s">
        <v>8</v>
      </c>
      <c r="C145" s="4">
        <v>45836</v>
      </c>
      <c r="D145" s="3" t="s">
        <v>80</v>
      </c>
      <c r="E145" s="3">
        <v>6.5</v>
      </c>
    </row>
    <row r="146" spans="1:5" x14ac:dyDescent="0.25">
      <c r="A146" s="10">
        <v>45809</v>
      </c>
      <c r="B146" s="6" t="s">
        <v>12</v>
      </c>
      <c r="C146" s="4">
        <v>45837</v>
      </c>
      <c r="D146" s="3" t="s">
        <v>28</v>
      </c>
      <c r="E146" s="3">
        <f>99.4-24.99</f>
        <v>74.410000000000011</v>
      </c>
    </row>
    <row r="147" spans="1:5" x14ac:dyDescent="0.25">
      <c r="A147" s="10">
        <v>45809</v>
      </c>
      <c r="B147" s="6" t="s">
        <v>12</v>
      </c>
      <c r="C147" s="4"/>
      <c r="D147" s="3" t="s">
        <v>41</v>
      </c>
      <c r="E147" s="3">
        <v>25.74</v>
      </c>
    </row>
    <row r="148" spans="1:5" x14ac:dyDescent="0.25">
      <c r="A148" s="10">
        <v>45809</v>
      </c>
      <c r="B148" s="6" t="s">
        <v>9</v>
      </c>
      <c r="C148" s="4"/>
      <c r="D148" s="6" t="s">
        <v>24</v>
      </c>
      <c r="E148" s="6">
        <v>40</v>
      </c>
    </row>
    <row r="149" spans="1:5" x14ac:dyDescent="0.25">
      <c r="A149" s="10">
        <v>45809</v>
      </c>
      <c r="B149" s="6" t="s">
        <v>11</v>
      </c>
      <c r="C149" s="4">
        <v>45838</v>
      </c>
      <c r="D149" s="6" t="s">
        <v>52</v>
      </c>
      <c r="E149" s="6">
        <v>9.1</v>
      </c>
    </row>
    <row r="150" spans="1:5" x14ac:dyDescent="0.25">
      <c r="A150" s="11">
        <v>45809</v>
      </c>
      <c r="B150" s="2" t="s">
        <v>0</v>
      </c>
      <c r="C150" s="2"/>
      <c r="D150" s="2" t="s">
        <v>0</v>
      </c>
      <c r="E150" s="2">
        <f>SUM(E128:E149)</f>
        <v>2074.1</v>
      </c>
    </row>
    <row r="151" spans="1:5" x14ac:dyDescent="0.25">
      <c r="A151" t="s">
        <v>33</v>
      </c>
      <c r="B151" s="6" t="s">
        <v>33</v>
      </c>
      <c r="C151" t="s">
        <v>33</v>
      </c>
      <c r="D151" t="s">
        <v>33</v>
      </c>
      <c r="E151" t="s">
        <v>33</v>
      </c>
    </row>
    <row r="152" spans="1:5" x14ac:dyDescent="0.25">
      <c r="A152" s="10">
        <v>45839</v>
      </c>
      <c r="B152" s="6" t="s">
        <v>4</v>
      </c>
      <c r="C152" s="4">
        <v>45839</v>
      </c>
      <c r="D152" s="6" t="s">
        <v>124</v>
      </c>
      <c r="E152" s="6">
        <v>987</v>
      </c>
    </row>
    <row r="153" spans="1:5" x14ac:dyDescent="0.25">
      <c r="A153" s="10">
        <v>45839</v>
      </c>
      <c r="B153" s="6" t="s">
        <v>14</v>
      </c>
      <c r="C153" s="6"/>
      <c r="D153" s="6" t="s">
        <v>123</v>
      </c>
      <c r="E153" s="6">
        <v>198</v>
      </c>
    </row>
    <row r="154" spans="1:5" x14ac:dyDescent="0.25">
      <c r="A154" s="10">
        <v>45839</v>
      </c>
      <c r="B154" s="6" t="s">
        <v>5</v>
      </c>
      <c r="C154" s="4">
        <v>45854</v>
      </c>
      <c r="D154" s="6" t="s">
        <v>125</v>
      </c>
      <c r="E154" s="6">
        <v>15</v>
      </c>
    </row>
    <row r="155" spans="1:5" x14ac:dyDescent="0.25">
      <c r="A155" s="10">
        <v>45839</v>
      </c>
      <c r="B155" s="6" t="s">
        <v>6</v>
      </c>
      <c r="C155" s="4"/>
      <c r="D155" s="6" t="s">
        <v>81</v>
      </c>
      <c r="E155" s="6">
        <v>100</v>
      </c>
    </row>
    <row r="156" spans="1:5" x14ac:dyDescent="0.25">
      <c r="A156" s="10">
        <v>45839</v>
      </c>
      <c r="B156" s="6" t="s">
        <v>12</v>
      </c>
      <c r="C156" s="4">
        <v>45842</v>
      </c>
      <c r="D156" s="3" t="s">
        <v>61</v>
      </c>
      <c r="E156" s="3">
        <v>3.5</v>
      </c>
    </row>
    <row r="157" spans="1:5" x14ac:dyDescent="0.25">
      <c r="A157" s="10">
        <v>45839</v>
      </c>
      <c r="B157" s="6" t="s">
        <v>8</v>
      </c>
      <c r="C157" s="4">
        <v>45844</v>
      </c>
      <c r="D157" s="3" t="s">
        <v>82</v>
      </c>
      <c r="E157" s="3">
        <v>14</v>
      </c>
    </row>
    <row r="158" spans="1:5" x14ac:dyDescent="0.25">
      <c r="A158" s="10">
        <v>45839</v>
      </c>
      <c r="B158" s="6" t="s">
        <v>12</v>
      </c>
      <c r="C158" s="4"/>
      <c r="D158" s="3" t="s">
        <v>28</v>
      </c>
      <c r="E158" s="3">
        <f>140.39-6</f>
        <v>134.38999999999999</v>
      </c>
    </row>
    <row r="159" spans="1:5" x14ac:dyDescent="0.25">
      <c r="A159" s="10">
        <v>45839</v>
      </c>
      <c r="B159" s="6" t="s">
        <v>9</v>
      </c>
      <c r="C159" s="4"/>
      <c r="D159" s="3" t="s">
        <v>83</v>
      </c>
      <c r="E159" s="3">
        <v>8.8000000000000007</v>
      </c>
    </row>
    <row r="160" spans="1:5" x14ac:dyDescent="0.25">
      <c r="A160" s="10">
        <v>45839</v>
      </c>
      <c r="B160" s="6" t="s">
        <v>7</v>
      </c>
      <c r="C160" s="4"/>
      <c r="D160" s="3" t="s">
        <v>84</v>
      </c>
      <c r="E160" s="3">
        <v>11.99</v>
      </c>
    </row>
    <row r="161" spans="1:5" x14ac:dyDescent="0.25">
      <c r="A161" s="10">
        <v>45839</v>
      </c>
      <c r="B161" s="6" t="s">
        <v>12</v>
      </c>
      <c r="C161" s="4"/>
      <c r="D161" s="3" t="s">
        <v>85</v>
      </c>
      <c r="E161" s="3">
        <v>31.75</v>
      </c>
    </row>
    <row r="162" spans="1:5" x14ac:dyDescent="0.25">
      <c r="A162" s="10">
        <v>45839</v>
      </c>
      <c r="B162" s="6" t="s">
        <v>12</v>
      </c>
      <c r="C162" s="4"/>
      <c r="D162" s="3" t="s">
        <v>86</v>
      </c>
      <c r="E162" s="3">
        <v>47.9</v>
      </c>
    </row>
    <row r="163" spans="1:5" x14ac:dyDescent="0.25">
      <c r="A163" s="10">
        <v>45839</v>
      </c>
      <c r="B163" s="6" t="s">
        <v>9</v>
      </c>
      <c r="C163" s="4"/>
      <c r="D163" s="3" t="s">
        <v>87</v>
      </c>
      <c r="E163" s="3">
        <v>2.5</v>
      </c>
    </row>
    <row r="164" spans="1:5" x14ac:dyDescent="0.25">
      <c r="A164" s="10">
        <v>45839</v>
      </c>
      <c r="B164" s="6" t="s">
        <v>8</v>
      </c>
      <c r="C164" s="4">
        <v>45847</v>
      </c>
      <c r="D164" s="3" t="s">
        <v>35</v>
      </c>
      <c r="E164" s="3">
        <v>29.8</v>
      </c>
    </row>
    <row r="165" spans="1:5" x14ac:dyDescent="0.25">
      <c r="A165" s="10">
        <v>45839</v>
      </c>
      <c r="B165" s="6" t="s">
        <v>8</v>
      </c>
      <c r="C165" s="4">
        <v>45850</v>
      </c>
      <c r="D165" s="3" t="s">
        <v>67</v>
      </c>
      <c r="E165" s="3">
        <v>7</v>
      </c>
    </row>
    <row r="166" spans="1:5" x14ac:dyDescent="0.25">
      <c r="A166" s="10">
        <v>45839</v>
      </c>
      <c r="B166" s="6" t="s">
        <v>12</v>
      </c>
      <c r="C166" s="4"/>
      <c r="D166" s="3" t="s">
        <v>28</v>
      </c>
      <c r="E166" s="3">
        <v>114.84</v>
      </c>
    </row>
    <row r="167" spans="1:5" x14ac:dyDescent="0.25">
      <c r="A167" s="10">
        <v>45839</v>
      </c>
      <c r="B167" s="6" t="s">
        <v>12</v>
      </c>
      <c r="C167" s="4">
        <v>45854</v>
      </c>
      <c r="D167" s="3" t="s">
        <v>22</v>
      </c>
      <c r="E167" s="3">
        <v>42.83</v>
      </c>
    </row>
    <row r="168" spans="1:5" x14ac:dyDescent="0.25">
      <c r="A168" s="10">
        <v>45839</v>
      </c>
      <c r="B168" s="6" t="s">
        <v>12</v>
      </c>
      <c r="C168" s="4">
        <v>45858</v>
      </c>
      <c r="D168" s="3" t="s">
        <v>28</v>
      </c>
      <c r="E168" s="3">
        <v>65.260000000000005</v>
      </c>
    </row>
    <row r="169" spans="1:5" x14ac:dyDescent="0.25">
      <c r="A169" s="10">
        <v>45839</v>
      </c>
      <c r="B169" s="6" t="s">
        <v>9</v>
      </c>
      <c r="C169" s="4">
        <v>45859</v>
      </c>
      <c r="D169" s="6" t="s">
        <v>88</v>
      </c>
      <c r="E169" s="3">
        <v>38.4</v>
      </c>
    </row>
    <row r="170" spans="1:5" x14ac:dyDescent="0.25">
      <c r="A170" s="10">
        <v>45839</v>
      </c>
      <c r="B170" s="6" t="s">
        <v>7</v>
      </c>
      <c r="C170" s="4">
        <v>45860</v>
      </c>
      <c r="D170" s="3" t="s">
        <v>89</v>
      </c>
      <c r="E170" s="3">
        <f>21.5+10.5</f>
        <v>32</v>
      </c>
    </row>
    <row r="171" spans="1:5" x14ac:dyDescent="0.25">
      <c r="A171" s="10">
        <v>45839</v>
      </c>
      <c r="B171" s="6" t="s">
        <v>7</v>
      </c>
      <c r="C171" s="4">
        <v>45863</v>
      </c>
      <c r="D171" s="3" t="s">
        <v>90</v>
      </c>
      <c r="E171" s="3">
        <f>10.4+8+7</f>
        <v>25.4</v>
      </c>
    </row>
    <row r="172" spans="1:5" x14ac:dyDescent="0.25">
      <c r="A172" s="10">
        <v>45839</v>
      </c>
      <c r="B172" s="6" t="s">
        <v>12</v>
      </c>
      <c r="C172" s="4"/>
      <c r="D172" s="3" t="s">
        <v>22</v>
      </c>
      <c r="E172" s="3">
        <v>24.77</v>
      </c>
    </row>
    <row r="173" spans="1:5" x14ac:dyDescent="0.25">
      <c r="A173" s="10">
        <v>45839</v>
      </c>
      <c r="B173" s="6" t="s">
        <v>12</v>
      </c>
      <c r="C173" s="4">
        <v>45865</v>
      </c>
      <c r="D173" s="3" t="s">
        <v>28</v>
      </c>
      <c r="E173" s="3">
        <v>84.58</v>
      </c>
    </row>
    <row r="174" spans="1:5" x14ac:dyDescent="0.25">
      <c r="A174" s="10">
        <v>45839</v>
      </c>
      <c r="B174" s="6" t="s">
        <v>12</v>
      </c>
      <c r="C174" s="4"/>
      <c r="D174" s="3" t="s">
        <v>41</v>
      </c>
      <c r="E174" s="3">
        <v>41.65</v>
      </c>
    </row>
    <row r="175" spans="1:5" x14ac:dyDescent="0.25">
      <c r="A175" s="10">
        <v>45839</v>
      </c>
      <c r="B175" s="6" t="s">
        <v>12</v>
      </c>
      <c r="C175" s="4">
        <v>45868</v>
      </c>
      <c r="D175" s="3" t="s">
        <v>22</v>
      </c>
      <c r="E175" s="3">
        <v>14.55</v>
      </c>
    </row>
    <row r="176" spans="1:5" x14ac:dyDescent="0.25">
      <c r="A176" s="10">
        <v>45839</v>
      </c>
      <c r="B176" s="6" t="s">
        <v>11</v>
      </c>
      <c r="C176" s="4"/>
      <c r="D176" s="3" t="s">
        <v>25</v>
      </c>
      <c r="E176" s="3">
        <v>15</v>
      </c>
    </row>
    <row r="177" spans="1:5" x14ac:dyDescent="0.25">
      <c r="A177" s="10">
        <v>45839</v>
      </c>
      <c r="B177" s="6" t="s">
        <v>11</v>
      </c>
      <c r="C177" s="4">
        <v>45869</v>
      </c>
      <c r="D177" s="3" t="s">
        <v>37</v>
      </c>
      <c r="E177" s="3">
        <v>18</v>
      </c>
    </row>
    <row r="178" spans="1:5" x14ac:dyDescent="0.25">
      <c r="A178" s="11">
        <v>45839</v>
      </c>
      <c r="B178" s="2" t="s">
        <v>0</v>
      </c>
      <c r="C178" s="2"/>
      <c r="D178" s="2" t="s">
        <v>0</v>
      </c>
      <c r="E178" s="2">
        <f>SUM(E152:E177)</f>
        <v>2108.91</v>
      </c>
    </row>
    <row r="179" spans="1:5" x14ac:dyDescent="0.25">
      <c r="A179" t="s">
        <v>33</v>
      </c>
      <c r="B179" s="6" t="s">
        <v>33</v>
      </c>
      <c r="C179" t="s">
        <v>33</v>
      </c>
      <c r="D179" t="s">
        <v>33</v>
      </c>
      <c r="E179" t="s">
        <v>33</v>
      </c>
    </row>
    <row r="180" spans="1:5" x14ac:dyDescent="0.25">
      <c r="A180" s="10">
        <v>45870</v>
      </c>
      <c r="B180" s="6" t="s">
        <v>4</v>
      </c>
      <c r="C180" s="4">
        <v>45870</v>
      </c>
      <c r="D180" s="6" t="s">
        <v>124</v>
      </c>
      <c r="E180" s="6">
        <v>987</v>
      </c>
    </row>
    <row r="181" spans="1:5" x14ac:dyDescent="0.25">
      <c r="A181" s="10">
        <v>45870</v>
      </c>
      <c r="B181" s="6" t="s">
        <v>14</v>
      </c>
      <c r="C181" s="6"/>
      <c r="D181" s="6" t="s">
        <v>123</v>
      </c>
      <c r="E181" s="6">
        <v>198</v>
      </c>
    </row>
    <row r="182" spans="1:5" x14ac:dyDescent="0.25">
      <c r="A182" s="10">
        <v>45870</v>
      </c>
      <c r="B182" s="6" t="s">
        <v>5</v>
      </c>
      <c r="C182" s="6"/>
      <c r="D182" s="6" t="s">
        <v>125</v>
      </c>
      <c r="E182" s="6">
        <v>0</v>
      </c>
    </row>
    <row r="183" spans="1:5" x14ac:dyDescent="0.25">
      <c r="A183" s="10">
        <v>45870</v>
      </c>
      <c r="B183" s="6" t="s">
        <v>6</v>
      </c>
      <c r="C183" s="4"/>
      <c r="D183" s="6" t="s">
        <v>91</v>
      </c>
      <c r="E183" s="6">
        <v>100</v>
      </c>
    </row>
    <row r="184" spans="1:5" x14ac:dyDescent="0.25">
      <c r="A184" s="10">
        <v>45870</v>
      </c>
      <c r="B184" s="6" t="s">
        <v>12</v>
      </c>
      <c r="C184" s="4">
        <v>45870</v>
      </c>
      <c r="D184" s="3" t="s">
        <v>92</v>
      </c>
      <c r="E184" s="3">
        <v>11.59</v>
      </c>
    </row>
    <row r="185" spans="1:5" x14ac:dyDescent="0.25">
      <c r="A185" s="10">
        <v>45870</v>
      </c>
      <c r="B185" s="6" t="s">
        <v>12</v>
      </c>
      <c r="C185" s="4">
        <v>45872</v>
      </c>
      <c r="D185" s="3" t="s">
        <v>28</v>
      </c>
      <c r="E185" s="3">
        <v>57.17</v>
      </c>
    </row>
    <row r="186" spans="1:5" x14ac:dyDescent="0.25">
      <c r="A186" s="10">
        <v>45870</v>
      </c>
      <c r="B186" s="6" t="s">
        <v>12</v>
      </c>
      <c r="C186" s="4"/>
      <c r="D186" s="3" t="s">
        <v>22</v>
      </c>
      <c r="E186" s="3">
        <v>6.83</v>
      </c>
    </row>
    <row r="187" spans="1:5" x14ac:dyDescent="0.25">
      <c r="A187" s="10">
        <v>45870</v>
      </c>
      <c r="B187" s="6" t="s">
        <v>12</v>
      </c>
      <c r="C187" s="4">
        <v>45875</v>
      </c>
      <c r="D187" s="3" t="s">
        <v>22</v>
      </c>
      <c r="E187" s="3">
        <v>6.99</v>
      </c>
    </row>
    <row r="188" spans="1:5" x14ac:dyDescent="0.25">
      <c r="A188" s="10">
        <v>45870</v>
      </c>
      <c r="B188" s="6" t="s">
        <v>9</v>
      </c>
      <c r="C188" s="4">
        <v>45876</v>
      </c>
      <c r="D188" s="6" t="s">
        <v>93</v>
      </c>
      <c r="E188" s="3">
        <v>58.47</v>
      </c>
    </row>
    <row r="189" spans="1:5" x14ac:dyDescent="0.25">
      <c r="A189" s="10">
        <v>45870</v>
      </c>
      <c r="B189" s="6" t="s">
        <v>12</v>
      </c>
      <c r="C189" s="4">
        <v>45879</v>
      </c>
      <c r="D189" s="3" t="s">
        <v>28</v>
      </c>
      <c r="E189" s="3">
        <v>68.66</v>
      </c>
    </row>
    <row r="190" spans="1:5" x14ac:dyDescent="0.25">
      <c r="A190" s="10">
        <v>45870</v>
      </c>
      <c r="B190" s="6" t="s">
        <v>12</v>
      </c>
      <c r="C190" s="4"/>
      <c r="D190" s="3" t="s">
        <v>41</v>
      </c>
      <c r="E190" s="3">
        <v>8.23</v>
      </c>
    </row>
    <row r="191" spans="1:5" x14ac:dyDescent="0.25">
      <c r="A191" s="10">
        <v>45870</v>
      </c>
      <c r="B191" s="6" t="s">
        <v>12</v>
      </c>
      <c r="C191" s="4"/>
      <c r="D191" s="3" t="s">
        <v>23</v>
      </c>
      <c r="E191" s="3">
        <v>14.94</v>
      </c>
    </row>
    <row r="192" spans="1:5" x14ac:dyDescent="0.25">
      <c r="A192" s="10">
        <v>45870</v>
      </c>
      <c r="B192" s="6" t="s">
        <v>8</v>
      </c>
      <c r="C192" s="4">
        <v>45885</v>
      </c>
      <c r="D192" s="3" t="s">
        <v>28</v>
      </c>
      <c r="E192" s="3">
        <v>4</v>
      </c>
    </row>
    <row r="193" spans="1:5" x14ac:dyDescent="0.25">
      <c r="A193" s="10">
        <v>45870</v>
      </c>
      <c r="B193" s="6" t="s">
        <v>8</v>
      </c>
      <c r="C193" s="4"/>
      <c r="D193" s="3" t="s">
        <v>68</v>
      </c>
      <c r="E193" s="12">
        <f>62.35-40</f>
        <v>22.35</v>
      </c>
    </row>
    <row r="194" spans="1:5" x14ac:dyDescent="0.25">
      <c r="A194" s="10">
        <v>45870</v>
      </c>
      <c r="B194" s="6" t="s">
        <v>8</v>
      </c>
      <c r="C194" s="4"/>
      <c r="D194" s="3" t="s">
        <v>67</v>
      </c>
      <c r="E194" s="3">
        <v>7.3</v>
      </c>
    </row>
    <row r="195" spans="1:5" x14ac:dyDescent="0.25">
      <c r="A195" s="10">
        <v>45870</v>
      </c>
      <c r="B195" s="6" t="s">
        <v>12</v>
      </c>
      <c r="C195" s="4">
        <v>45886</v>
      </c>
      <c r="D195" s="3" t="s">
        <v>28</v>
      </c>
      <c r="E195" s="3">
        <v>103.68</v>
      </c>
    </row>
    <row r="196" spans="1:5" x14ac:dyDescent="0.25">
      <c r="A196" s="10">
        <v>45870</v>
      </c>
      <c r="B196" s="6" t="s">
        <v>19</v>
      </c>
      <c r="C196" s="4">
        <v>45888</v>
      </c>
      <c r="D196" s="3" t="s">
        <v>94</v>
      </c>
      <c r="E196" s="3">
        <v>2.93</v>
      </c>
    </row>
    <row r="197" spans="1:5" x14ac:dyDescent="0.25">
      <c r="A197" s="10">
        <v>45870</v>
      </c>
      <c r="B197" s="6" t="s">
        <v>8</v>
      </c>
      <c r="C197" s="4">
        <v>45889</v>
      </c>
      <c r="D197" s="3" t="s">
        <v>95</v>
      </c>
      <c r="E197" s="3">
        <v>8.1999999999999993</v>
      </c>
    </row>
    <row r="198" spans="1:5" x14ac:dyDescent="0.25">
      <c r="A198" s="10">
        <v>45870</v>
      </c>
      <c r="B198" s="6" t="s">
        <v>12</v>
      </c>
      <c r="C198" s="4">
        <v>45893</v>
      </c>
      <c r="D198" s="3" t="s">
        <v>28</v>
      </c>
      <c r="E198" s="3">
        <v>85.28</v>
      </c>
    </row>
    <row r="199" spans="1:5" x14ac:dyDescent="0.25">
      <c r="A199" s="10">
        <v>45870</v>
      </c>
      <c r="B199" s="6" t="s">
        <v>7</v>
      </c>
      <c r="C199" s="4"/>
      <c r="D199" s="3" t="s">
        <v>96</v>
      </c>
      <c r="E199" s="3">
        <v>3</v>
      </c>
    </row>
    <row r="200" spans="1:5" x14ac:dyDescent="0.25">
      <c r="A200" s="10">
        <v>45870</v>
      </c>
      <c r="B200" s="6" t="s">
        <v>12</v>
      </c>
      <c r="C200" s="4">
        <v>45894</v>
      </c>
      <c r="D200" s="3" t="s">
        <v>61</v>
      </c>
      <c r="E200" s="3">
        <f>8.34+0.35</f>
        <v>8.69</v>
      </c>
    </row>
    <row r="201" spans="1:5" x14ac:dyDescent="0.25">
      <c r="A201" s="10">
        <v>45870</v>
      </c>
      <c r="B201" s="6" t="s">
        <v>9</v>
      </c>
      <c r="C201" s="4">
        <v>45898</v>
      </c>
      <c r="D201" s="3" t="s">
        <v>24</v>
      </c>
      <c r="E201" s="3">
        <v>40</v>
      </c>
    </row>
    <row r="202" spans="1:5" x14ac:dyDescent="0.25">
      <c r="A202" s="10">
        <v>45870</v>
      </c>
      <c r="B202" s="6" t="s">
        <v>12</v>
      </c>
      <c r="C202" s="4">
        <v>45893</v>
      </c>
      <c r="D202" s="3" t="s">
        <v>28</v>
      </c>
      <c r="E202" s="3">
        <v>80.760000000000005</v>
      </c>
    </row>
    <row r="203" spans="1:5" x14ac:dyDescent="0.25">
      <c r="A203" s="10">
        <v>45870</v>
      </c>
      <c r="B203" s="6" t="s">
        <v>12</v>
      </c>
      <c r="C203" s="4"/>
      <c r="D203" s="3" t="s">
        <v>41</v>
      </c>
      <c r="E203" s="3">
        <v>35.1</v>
      </c>
    </row>
    <row r="204" spans="1:5" x14ac:dyDescent="0.25">
      <c r="A204" s="11">
        <v>45870</v>
      </c>
      <c r="B204" s="2" t="s">
        <v>0</v>
      </c>
      <c r="C204" s="2"/>
      <c r="D204" s="2" t="s">
        <v>0</v>
      </c>
      <c r="E204" s="2">
        <f>SUM(E180:E203)</f>
        <v>1919.17</v>
      </c>
    </row>
    <row r="205" spans="1:5" x14ac:dyDescent="0.25">
      <c r="A205" t="s">
        <v>33</v>
      </c>
      <c r="B205" s="6" t="s">
        <v>33</v>
      </c>
      <c r="C205" t="s">
        <v>33</v>
      </c>
      <c r="D205" t="s">
        <v>33</v>
      </c>
      <c r="E205" t="s">
        <v>33</v>
      </c>
    </row>
    <row r="206" spans="1:5" x14ac:dyDescent="0.25">
      <c r="A206" s="10">
        <v>45901</v>
      </c>
      <c r="B206" s="6" t="s">
        <v>4</v>
      </c>
      <c r="C206" s="4">
        <v>45901</v>
      </c>
      <c r="D206" s="6" t="s">
        <v>124</v>
      </c>
      <c r="E206" s="6">
        <v>987</v>
      </c>
    </row>
    <row r="207" spans="1:5" x14ac:dyDescent="0.25">
      <c r="A207" s="10">
        <v>45901</v>
      </c>
      <c r="B207" s="6" t="s">
        <v>14</v>
      </c>
      <c r="C207" s="6"/>
      <c r="D207" s="6" t="s">
        <v>123</v>
      </c>
      <c r="E207" s="6">
        <v>198</v>
      </c>
    </row>
    <row r="208" spans="1:5" x14ac:dyDescent="0.25">
      <c r="A208" s="10">
        <v>45901</v>
      </c>
      <c r="B208" s="6" t="s">
        <v>5</v>
      </c>
      <c r="C208" s="6"/>
      <c r="D208" s="6" t="s">
        <v>125</v>
      </c>
      <c r="E208" s="6">
        <v>0</v>
      </c>
    </row>
    <row r="209" spans="1:8" x14ac:dyDescent="0.25">
      <c r="A209" s="10">
        <v>45901</v>
      </c>
      <c r="B209" s="6" t="s">
        <v>6</v>
      </c>
      <c r="C209" s="4"/>
      <c r="D209" s="6" t="s">
        <v>97</v>
      </c>
      <c r="E209" s="6">
        <v>100</v>
      </c>
    </row>
    <row r="210" spans="1:8" x14ac:dyDescent="0.25">
      <c r="A210" s="10">
        <v>45901</v>
      </c>
      <c r="B210" s="6" t="s">
        <v>12</v>
      </c>
      <c r="C210" s="4">
        <v>45901</v>
      </c>
      <c r="D210" s="3" t="s">
        <v>98</v>
      </c>
      <c r="E210" s="3">
        <v>8.73</v>
      </c>
    </row>
    <row r="211" spans="1:8" x14ac:dyDescent="0.25">
      <c r="A211" s="10">
        <v>45901</v>
      </c>
      <c r="B211" s="6" t="s">
        <v>12</v>
      </c>
      <c r="C211" s="4">
        <v>45876</v>
      </c>
      <c r="D211" s="3" t="s">
        <v>28</v>
      </c>
      <c r="E211" s="3">
        <f>96.76-31-35.33</f>
        <v>30.430000000000007</v>
      </c>
      <c r="H211" s="3"/>
    </row>
    <row r="212" spans="1:8" x14ac:dyDescent="0.25">
      <c r="A212" s="10">
        <v>45901</v>
      </c>
      <c r="B212" s="6" t="s">
        <v>12</v>
      </c>
      <c r="C212" s="4"/>
      <c r="D212" s="3" t="s">
        <v>23</v>
      </c>
      <c r="E212" s="3">
        <v>16.940000000000001</v>
      </c>
    </row>
    <row r="213" spans="1:8" x14ac:dyDescent="0.25">
      <c r="A213" s="10">
        <v>45901</v>
      </c>
      <c r="B213" s="6" t="s">
        <v>12</v>
      </c>
      <c r="C213" s="4">
        <v>45909</v>
      </c>
      <c r="D213" s="3" t="s">
        <v>92</v>
      </c>
      <c r="E213" s="3">
        <v>6.33</v>
      </c>
    </row>
    <row r="214" spans="1:8" x14ac:dyDescent="0.25">
      <c r="A214" s="10">
        <v>45901</v>
      </c>
      <c r="B214" s="6" t="s">
        <v>12</v>
      </c>
      <c r="C214" s="4">
        <v>45914</v>
      </c>
      <c r="D214" s="6" t="s">
        <v>32</v>
      </c>
      <c r="E214" s="3">
        <v>89.35</v>
      </c>
    </row>
    <row r="215" spans="1:8" x14ac:dyDescent="0.25">
      <c r="A215" s="10">
        <v>45901</v>
      </c>
      <c r="B215" s="6" t="s">
        <v>11</v>
      </c>
      <c r="C215" s="4">
        <v>45919</v>
      </c>
      <c r="D215" s="3" t="s">
        <v>37</v>
      </c>
      <c r="E215" s="3">
        <v>18</v>
      </c>
    </row>
    <row r="216" spans="1:8" x14ac:dyDescent="0.25">
      <c r="A216" s="10">
        <v>45901</v>
      </c>
      <c r="B216" s="6" t="s">
        <v>12</v>
      </c>
      <c r="C216" s="4">
        <v>45919</v>
      </c>
      <c r="D216" s="3" t="s">
        <v>92</v>
      </c>
      <c r="E216" s="3">
        <v>29.2</v>
      </c>
    </row>
    <row r="217" spans="1:8" x14ac:dyDescent="0.25">
      <c r="A217" s="10">
        <v>45901</v>
      </c>
      <c r="B217" s="6" t="s">
        <v>12</v>
      </c>
      <c r="C217" s="4">
        <v>45921</v>
      </c>
      <c r="D217" s="6" t="s">
        <v>32</v>
      </c>
      <c r="E217" s="3">
        <v>82.81</v>
      </c>
    </row>
    <row r="218" spans="1:8" x14ac:dyDescent="0.25">
      <c r="A218" s="10">
        <v>45901</v>
      </c>
      <c r="B218" s="6" t="s">
        <v>12</v>
      </c>
      <c r="C218" s="4"/>
      <c r="D218" s="3" t="s">
        <v>41</v>
      </c>
      <c r="E218" s="3">
        <v>26.71</v>
      </c>
    </row>
    <row r="219" spans="1:8" x14ac:dyDescent="0.25">
      <c r="A219" s="10">
        <v>45901</v>
      </c>
      <c r="B219" s="6" t="s">
        <v>12</v>
      </c>
      <c r="C219" s="4">
        <v>45928</v>
      </c>
      <c r="D219" s="3" t="s">
        <v>28</v>
      </c>
      <c r="E219" s="12">
        <v>79.87</v>
      </c>
    </row>
    <row r="220" spans="1:8" x14ac:dyDescent="0.25">
      <c r="A220" s="10">
        <v>45901</v>
      </c>
      <c r="B220" s="6" t="s">
        <v>12</v>
      </c>
      <c r="C220" s="4"/>
      <c r="D220" s="3" t="s">
        <v>98</v>
      </c>
      <c r="E220" s="3">
        <v>9.44</v>
      </c>
    </row>
    <row r="221" spans="1:8" x14ac:dyDescent="0.25">
      <c r="A221" s="10">
        <v>45901</v>
      </c>
      <c r="B221" s="6" t="s">
        <v>12</v>
      </c>
      <c r="C221" s="4"/>
      <c r="D221" s="3" t="s">
        <v>22</v>
      </c>
      <c r="E221" s="3">
        <v>15.64</v>
      </c>
    </row>
    <row r="222" spans="1:8" x14ac:dyDescent="0.25">
      <c r="A222" s="10">
        <v>45901</v>
      </c>
      <c r="B222" s="6" t="s">
        <v>11</v>
      </c>
      <c r="C222" s="1">
        <v>45929</v>
      </c>
      <c r="D222" t="s">
        <v>52</v>
      </c>
      <c r="E222">
        <v>9.1</v>
      </c>
    </row>
    <row r="223" spans="1:8" x14ac:dyDescent="0.25">
      <c r="A223" s="11">
        <v>45901</v>
      </c>
      <c r="B223" s="2" t="s">
        <v>0</v>
      </c>
      <c r="C223" s="2"/>
      <c r="D223" s="2" t="s">
        <v>0</v>
      </c>
      <c r="E223" s="2">
        <f>SUM(E206:E222)</f>
        <v>1707.55</v>
      </c>
    </row>
    <row r="224" spans="1:8" x14ac:dyDescent="0.25">
      <c r="A224" t="s">
        <v>33</v>
      </c>
      <c r="B224" s="6" t="s">
        <v>33</v>
      </c>
      <c r="C224" t="s">
        <v>33</v>
      </c>
      <c r="D224" t="s">
        <v>33</v>
      </c>
      <c r="E224" t="s">
        <v>33</v>
      </c>
    </row>
    <row r="225" spans="1:8" x14ac:dyDescent="0.25">
      <c r="A225" s="10">
        <v>45931</v>
      </c>
      <c r="B225" s="6" t="s">
        <v>4</v>
      </c>
      <c r="C225" s="4">
        <v>45931</v>
      </c>
      <c r="D225" s="6" t="s">
        <v>124</v>
      </c>
      <c r="E225" s="6">
        <v>987</v>
      </c>
    </row>
    <row r="226" spans="1:8" x14ac:dyDescent="0.25">
      <c r="A226" s="10">
        <v>45931</v>
      </c>
      <c r="B226" s="6" t="s">
        <v>14</v>
      </c>
      <c r="C226" s="6"/>
      <c r="D226" s="6" t="s">
        <v>123</v>
      </c>
      <c r="E226" s="6">
        <v>198</v>
      </c>
    </row>
    <row r="227" spans="1:8" x14ac:dyDescent="0.25">
      <c r="A227" s="10">
        <v>45931</v>
      </c>
      <c r="B227" s="6" t="s">
        <v>5</v>
      </c>
      <c r="C227" s="6"/>
      <c r="D227" s="6" t="s">
        <v>125</v>
      </c>
      <c r="E227" s="6">
        <v>0</v>
      </c>
    </row>
    <row r="228" spans="1:8" x14ac:dyDescent="0.25">
      <c r="A228" s="10">
        <v>45931</v>
      </c>
      <c r="B228" s="6" t="s">
        <v>6</v>
      </c>
      <c r="C228" s="4"/>
      <c r="D228" s="6" t="s">
        <v>99</v>
      </c>
      <c r="E228" s="6">
        <v>100</v>
      </c>
      <c r="F228" s="6"/>
      <c r="G228" s="6"/>
      <c r="H228" s="6"/>
    </row>
    <row r="229" spans="1:8" x14ac:dyDescent="0.25">
      <c r="A229" s="10">
        <v>45931</v>
      </c>
      <c r="B229" s="6" t="s">
        <v>12</v>
      </c>
      <c r="C229" s="4">
        <v>45932</v>
      </c>
      <c r="D229" s="3" t="s">
        <v>100</v>
      </c>
      <c r="E229" s="3">
        <v>19.78</v>
      </c>
      <c r="F229" s="6"/>
      <c r="G229" s="6"/>
      <c r="H229" s="6"/>
    </row>
    <row r="230" spans="1:8" x14ac:dyDescent="0.25">
      <c r="A230" s="10">
        <v>45931</v>
      </c>
      <c r="B230" s="6" t="s">
        <v>8</v>
      </c>
      <c r="C230" s="4"/>
      <c r="D230" s="3" t="s">
        <v>101</v>
      </c>
      <c r="E230" s="3">
        <v>40.9</v>
      </c>
      <c r="F230" s="6"/>
      <c r="G230" s="3"/>
      <c r="H230" s="6"/>
    </row>
    <row r="231" spans="1:8" x14ac:dyDescent="0.25">
      <c r="A231" s="10">
        <v>45931</v>
      </c>
      <c r="B231" s="6" t="s">
        <v>12</v>
      </c>
      <c r="C231" s="4">
        <v>45934</v>
      </c>
      <c r="D231" s="3" t="s">
        <v>22</v>
      </c>
      <c r="E231" s="3">
        <v>9.74</v>
      </c>
      <c r="F231" s="6"/>
      <c r="G231" s="6"/>
      <c r="H231" s="6"/>
    </row>
    <row r="232" spans="1:8" x14ac:dyDescent="0.25">
      <c r="A232" s="10">
        <v>45931</v>
      </c>
      <c r="B232" s="6" t="s">
        <v>12</v>
      </c>
      <c r="C232" s="4">
        <v>45935</v>
      </c>
      <c r="D232" s="3" t="s">
        <v>22</v>
      </c>
      <c r="E232" s="3">
        <v>5.25</v>
      </c>
      <c r="F232" s="6"/>
      <c r="G232" s="6"/>
      <c r="H232" s="6"/>
    </row>
    <row r="233" spans="1:8" x14ac:dyDescent="0.25">
      <c r="A233" s="10">
        <v>45931</v>
      </c>
      <c r="B233" s="6" t="s">
        <v>12</v>
      </c>
      <c r="C233" s="4"/>
      <c r="D233" s="3" t="s">
        <v>28</v>
      </c>
      <c r="E233" s="3">
        <f>70.5-5-3.75</f>
        <v>61.75</v>
      </c>
      <c r="F233" s="6"/>
      <c r="G233" s="6"/>
      <c r="H233" s="6"/>
    </row>
    <row r="234" spans="1:8" x14ac:dyDescent="0.25">
      <c r="A234" s="10">
        <v>45931</v>
      </c>
      <c r="B234" s="6" t="s">
        <v>9</v>
      </c>
      <c r="C234" s="4">
        <v>45936</v>
      </c>
      <c r="D234" s="6" t="s">
        <v>102</v>
      </c>
      <c r="E234" s="3">
        <v>66.459999999999994</v>
      </c>
      <c r="F234" s="6"/>
      <c r="G234" s="6"/>
      <c r="H234" s="6"/>
    </row>
    <row r="235" spans="1:8" x14ac:dyDescent="0.25">
      <c r="A235" s="10">
        <v>45931</v>
      </c>
      <c r="B235" s="6" t="s">
        <v>12</v>
      </c>
      <c r="C235" s="4">
        <v>45941</v>
      </c>
      <c r="D235" s="3" t="s">
        <v>22</v>
      </c>
      <c r="E235" s="3">
        <v>12.94</v>
      </c>
      <c r="F235" s="6"/>
      <c r="G235" s="6"/>
      <c r="H235" s="6"/>
    </row>
    <row r="236" spans="1:8" x14ac:dyDescent="0.25">
      <c r="A236" s="10">
        <v>45931</v>
      </c>
      <c r="B236" s="6" t="s">
        <v>12</v>
      </c>
      <c r="C236" s="4">
        <v>45942</v>
      </c>
      <c r="D236" s="3" t="s">
        <v>28</v>
      </c>
      <c r="E236" s="3">
        <v>101.25</v>
      </c>
      <c r="F236" s="6"/>
      <c r="G236" s="6"/>
      <c r="H236" s="6"/>
    </row>
    <row r="237" spans="1:8" x14ac:dyDescent="0.25">
      <c r="A237" s="10">
        <v>45931</v>
      </c>
      <c r="B237" s="6" t="s">
        <v>12</v>
      </c>
      <c r="C237" s="4"/>
      <c r="D237" s="3" t="s">
        <v>41</v>
      </c>
      <c r="E237" s="3">
        <v>24.22</v>
      </c>
      <c r="F237" s="6"/>
      <c r="G237" s="6"/>
      <c r="H237" s="6"/>
    </row>
    <row r="238" spans="1:8" x14ac:dyDescent="0.25">
      <c r="A238" s="10">
        <v>45931</v>
      </c>
      <c r="B238" s="6" t="s">
        <v>12</v>
      </c>
      <c r="C238" s="4">
        <v>45946</v>
      </c>
      <c r="D238" s="3" t="s">
        <v>22</v>
      </c>
      <c r="E238" s="12">
        <v>7.23</v>
      </c>
      <c r="F238" s="6"/>
      <c r="G238" s="6"/>
      <c r="H238" s="6"/>
    </row>
    <row r="239" spans="1:8" x14ac:dyDescent="0.25">
      <c r="A239" s="10">
        <v>45931</v>
      </c>
      <c r="B239" s="6" t="s">
        <v>12</v>
      </c>
      <c r="C239" s="4">
        <v>45949</v>
      </c>
      <c r="D239" s="3" t="s">
        <v>28</v>
      </c>
      <c r="E239" s="12">
        <v>31.17</v>
      </c>
      <c r="F239" s="6"/>
      <c r="G239" s="6"/>
      <c r="H239" s="6"/>
    </row>
    <row r="240" spans="1:8" x14ac:dyDescent="0.25">
      <c r="A240" s="10">
        <v>45931</v>
      </c>
      <c r="B240" s="6" t="s">
        <v>12</v>
      </c>
      <c r="C240" s="4">
        <v>45952</v>
      </c>
      <c r="D240" s="3" t="s">
        <v>22</v>
      </c>
      <c r="E240" s="12">
        <v>20.99</v>
      </c>
      <c r="F240" s="6"/>
      <c r="G240" s="6"/>
      <c r="H240" s="6"/>
    </row>
    <row r="241" spans="1:8" x14ac:dyDescent="0.25">
      <c r="A241" s="10">
        <v>45931</v>
      </c>
      <c r="B241" s="6" t="s">
        <v>12</v>
      </c>
      <c r="C241" s="4">
        <v>45954</v>
      </c>
      <c r="D241" s="3" t="s">
        <v>103</v>
      </c>
      <c r="E241" s="12">
        <v>35</v>
      </c>
      <c r="F241" s="6"/>
      <c r="G241" s="12"/>
      <c r="H241" s="6"/>
    </row>
    <row r="242" spans="1:8" x14ac:dyDescent="0.25">
      <c r="A242" s="10">
        <v>45931</v>
      </c>
      <c r="B242" s="6" t="s">
        <v>12</v>
      </c>
      <c r="C242" s="4">
        <v>45956</v>
      </c>
      <c r="D242" s="3" t="s">
        <v>28</v>
      </c>
      <c r="E242" s="12">
        <v>87.94</v>
      </c>
      <c r="F242" s="6"/>
      <c r="G242" s="6"/>
      <c r="H242" s="6"/>
    </row>
    <row r="243" spans="1:8" x14ac:dyDescent="0.25">
      <c r="A243" s="10">
        <v>45931</v>
      </c>
      <c r="B243" s="6" t="s">
        <v>12</v>
      </c>
      <c r="C243" s="4"/>
      <c r="D243" s="3" t="s">
        <v>41</v>
      </c>
      <c r="E243" s="12">
        <v>19.72</v>
      </c>
      <c r="F243" s="6"/>
      <c r="G243" s="6"/>
      <c r="H243" s="6"/>
    </row>
    <row r="244" spans="1:8" x14ac:dyDescent="0.25">
      <c r="A244" s="10">
        <v>45931</v>
      </c>
      <c r="B244" s="6" t="s">
        <v>9</v>
      </c>
      <c r="C244" s="1">
        <v>45959</v>
      </c>
      <c r="D244" t="s">
        <v>104</v>
      </c>
      <c r="E244">
        <v>40</v>
      </c>
    </row>
    <row r="245" spans="1:8" x14ac:dyDescent="0.25">
      <c r="A245" s="11">
        <v>45931</v>
      </c>
      <c r="B245" s="2" t="s">
        <v>0</v>
      </c>
      <c r="C245" s="2"/>
      <c r="D245" s="2" t="s">
        <v>0</v>
      </c>
      <c r="E245" s="2">
        <f>SUM(E225:E244)</f>
        <v>1869.3400000000004</v>
      </c>
    </row>
    <row r="246" spans="1:8" x14ac:dyDescent="0.25">
      <c r="A246" t="s">
        <v>33</v>
      </c>
      <c r="B246" s="6" t="s">
        <v>33</v>
      </c>
      <c r="C246" t="s">
        <v>33</v>
      </c>
      <c r="D246" t="s">
        <v>33</v>
      </c>
      <c r="E246" t="s">
        <v>33</v>
      </c>
    </row>
    <row r="247" spans="1:8" x14ac:dyDescent="0.25">
      <c r="A247" s="10">
        <v>45962</v>
      </c>
      <c r="B247" s="6" t="s">
        <v>4</v>
      </c>
      <c r="C247" s="4">
        <v>45962</v>
      </c>
      <c r="D247" s="6" t="s">
        <v>124</v>
      </c>
      <c r="E247" s="6">
        <v>987</v>
      </c>
      <c r="G247" s="6"/>
    </row>
    <row r="248" spans="1:8" x14ac:dyDescent="0.25">
      <c r="A248" s="10">
        <v>45962</v>
      </c>
      <c r="B248" s="6" t="s">
        <v>14</v>
      </c>
      <c r="C248" s="6"/>
      <c r="D248" s="6" t="s">
        <v>123</v>
      </c>
      <c r="E248" s="6">
        <v>198</v>
      </c>
      <c r="G248" s="6"/>
    </row>
    <row r="249" spans="1:8" x14ac:dyDescent="0.25">
      <c r="A249" s="10">
        <v>45962</v>
      </c>
      <c r="B249" s="6" t="s">
        <v>5</v>
      </c>
      <c r="C249" s="6"/>
      <c r="D249" s="6" t="s">
        <v>125</v>
      </c>
      <c r="E249" s="6">
        <v>0</v>
      </c>
      <c r="G249" s="6"/>
    </row>
    <row r="250" spans="1:8" x14ac:dyDescent="0.25">
      <c r="A250" s="10">
        <v>45962</v>
      </c>
      <c r="B250" s="6" t="s">
        <v>6</v>
      </c>
      <c r="C250" s="4"/>
      <c r="D250" s="6" t="s">
        <v>105</v>
      </c>
      <c r="E250" s="6">
        <v>100</v>
      </c>
      <c r="G250" s="6"/>
    </row>
    <row r="251" spans="1:8" x14ac:dyDescent="0.25">
      <c r="A251" s="10">
        <v>45962</v>
      </c>
      <c r="B251" s="6" t="s">
        <v>12</v>
      </c>
      <c r="C251" s="4">
        <v>45963</v>
      </c>
      <c r="D251" s="13" t="s">
        <v>61</v>
      </c>
      <c r="E251" s="3">
        <v>9.66</v>
      </c>
      <c r="G251" s="3"/>
    </row>
    <row r="252" spans="1:8" x14ac:dyDescent="0.25">
      <c r="A252" s="10">
        <v>45962</v>
      </c>
      <c r="B252" s="6" t="s">
        <v>12</v>
      </c>
      <c r="C252" s="4"/>
      <c r="D252" s="3" t="s">
        <v>32</v>
      </c>
      <c r="E252" s="3">
        <v>78.5</v>
      </c>
      <c r="G252" s="3"/>
    </row>
    <row r="253" spans="1:8" x14ac:dyDescent="0.25">
      <c r="A253" s="10">
        <v>45962</v>
      </c>
      <c r="B253" s="6" t="s">
        <v>11</v>
      </c>
      <c r="C253" s="4">
        <v>45967</v>
      </c>
      <c r="D253" s="3" t="s">
        <v>37</v>
      </c>
      <c r="E253" s="3">
        <v>18</v>
      </c>
      <c r="G253" s="3"/>
    </row>
    <row r="254" spans="1:8" x14ac:dyDescent="0.25">
      <c r="A254" s="10">
        <v>45962</v>
      </c>
      <c r="B254" s="6" t="s">
        <v>12</v>
      </c>
      <c r="C254" s="4">
        <v>45970</v>
      </c>
      <c r="D254" s="3" t="s">
        <v>28</v>
      </c>
      <c r="E254" s="3">
        <v>80.17</v>
      </c>
      <c r="G254" s="3"/>
    </row>
    <row r="255" spans="1:8" x14ac:dyDescent="0.25">
      <c r="A255" s="10">
        <v>45962</v>
      </c>
      <c r="B255" s="6" t="s">
        <v>12</v>
      </c>
      <c r="C255" s="4"/>
      <c r="D255" s="3" t="s">
        <v>41</v>
      </c>
      <c r="E255" s="3">
        <v>20.53</v>
      </c>
      <c r="G255" s="3"/>
    </row>
    <row r="256" spans="1:8" x14ac:dyDescent="0.25">
      <c r="A256" s="10">
        <v>45962</v>
      </c>
      <c r="B256" s="6" t="s">
        <v>12</v>
      </c>
      <c r="C256" s="4">
        <v>45975</v>
      </c>
      <c r="D256" s="3" t="s">
        <v>22</v>
      </c>
      <c r="E256" s="3">
        <v>27.45</v>
      </c>
      <c r="G256" s="3"/>
    </row>
    <row r="257" spans="1:7" x14ac:dyDescent="0.25">
      <c r="A257" s="10">
        <v>45962</v>
      </c>
      <c r="B257" s="6" t="s">
        <v>11</v>
      </c>
      <c r="C257" s="4">
        <v>45976</v>
      </c>
      <c r="D257" s="3" t="s">
        <v>106</v>
      </c>
      <c r="E257" s="3">
        <v>3</v>
      </c>
      <c r="G257" s="3"/>
    </row>
    <row r="258" spans="1:7" x14ac:dyDescent="0.25">
      <c r="A258" s="10">
        <v>45962</v>
      </c>
      <c r="B258" s="6" t="s">
        <v>8</v>
      </c>
      <c r="C258" s="4"/>
      <c r="D258" s="3" t="s">
        <v>107</v>
      </c>
      <c r="E258" s="3">
        <v>17</v>
      </c>
      <c r="G258" s="3"/>
    </row>
    <row r="259" spans="1:7" x14ac:dyDescent="0.25">
      <c r="A259" s="10">
        <v>45962</v>
      </c>
      <c r="B259" s="6" t="s">
        <v>9</v>
      </c>
      <c r="C259" s="4"/>
      <c r="D259" s="6" t="s">
        <v>108</v>
      </c>
      <c r="E259" s="3">
        <v>64.92</v>
      </c>
      <c r="G259" s="3"/>
    </row>
    <row r="260" spans="1:7" x14ac:dyDescent="0.25">
      <c r="A260" s="10">
        <v>45962</v>
      </c>
      <c r="B260" s="6" t="s">
        <v>11</v>
      </c>
      <c r="C260" s="4">
        <v>45977</v>
      </c>
      <c r="D260" s="3" t="s">
        <v>122</v>
      </c>
      <c r="E260" s="12">
        <v>4</v>
      </c>
      <c r="G260" s="12"/>
    </row>
    <row r="261" spans="1:7" x14ac:dyDescent="0.25">
      <c r="A261" s="10">
        <v>45962</v>
      </c>
      <c r="B261" s="6" t="s">
        <v>8</v>
      </c>
      <c r="C261" s="4"/>
      <c r="D261" s="3" t="s">
        <v>35</v>
      </c>
      <c r="E261" s="12">
        <v>68</v>
      </c>
      <c r="G261" s="12"/>
    </row>
    <row r="262" spans="1:7" x14ac:dyDescent="0.25">
      <c r="A262" s="10">
        <v>45962</v>
      </c>
      <c r="B262" s="6" t="s">
        <v>12</v>
      </c>
      <c r="C262" s="4">
        <v>45978</v>
      </c>
      <c r="D262" s="3" t="s">
        <v>28</v>
      </c>
      <c r="E262" s="12">
        <v>55</v>
      </c>
      <c r="G262" s="12"/>
    </row>
    <row r="263" spans="1:7" x14ac:dyDescent="0.25">
      <c r="A263" s="10">
        <v>45962</v>
      </c>
      <c r="B263" s="6" t="s">
        <v>12</v>
      </c>
      <c r="C263" s="4"/>
      <c r="D263" s="3" t="s">
        <v>98</v>
      </c>
      <c r="E263" s="12">
        <v>8.0500000000000007</v>
      </c>
      <c r="G263" s="12"/>
    </row>
    <row r="264" spans="1:7" x14ac:dyDescent="0.25">
      <c r="A264" s="10">
        <v>45962</v>
      </c>
      <c r="B264" s="6" t="s">
        <v>11</v>
      </c>
      <c r="C264" s="4">
        <v>45982</v>
      </c>
      <c r="D264" s="3" t="s">
        <v>109</v>
      </c>
      <c r="E264" s="12">
        <v>7.8</v>
      </c>
      <c r="G264" s="12"/>
    </row>
    <row r="265" spans="1:7" x14ac:dyDescent="0.25">
      <c r="A265" s="10">
        <v>45962</v>
      </c>
      <c r="B265" s="6" t="s">
        <v>12</v>
      </c>
      <c r="C265" s="4">
        <v>45984</v>
      </c>
      <c r="D265" s="3" t="s">
        <v>28</v>
      </c>
      <c r="E265" s="12">
        <f>63.78-1.23</f>
        <v>62.550000000000004</v>
      </c>
      <c r="G265" s="12"/>
    </row>
    <row r="266" spans="1:7" x14ac:dyDescent="0.25">
      <c r="A266" s="10">
        <v>45962</v>
      </c>
      <c r="B266" s="6" t="s">
        <v>11</v>
      </c>
      <c r="C266" s="4">
        <v>45985</v>
      </c>
      <c r="D266" s="3" t="s">
        <v>25</v>
      </c>
      <c r="E266" s="12">
        <v>15</v>
      </c>
      <c r="G266" s="12"/>
    </row>
    <row r="267" spans="1:7" x14ac:dyDescent="0.25">
      <c r="A267" s="10">
        <v>45962</v>
      </c>
      <c r="B267" s="6" t="s">
        <v>16</v>
      </c>
      <c r="C267" s="4">
        <v>45979</v>
      </c>
      <c r="D267" s="3" t="s">
        <v>110</v>
      </c>
      <c r="E267" s="12">
        <v>117.1</v>
      </c>
      <c r="F267" s="6"/>
    </row>
    <row r="268" spans="1:7" x14ac:dyDescent="0.25">
      <c r="A268" s="10">
        <v>45962</v>
      </c>
      <c r="B268" s="6" t="s">
        <v>12</v>
      </c>
      <c r="C268" s="4">
        <v>45991</v>
      </c>
      <c r="D268" s="3" t="s">
        <v>22</v>
      </c>
      <c r="E268" s="12">
        <v>59</v>
      </c>
    </row>
    <row r="269" spans="1:7" x14ac:dyDescent="0.25">
      <c r="A269" s="11">
        <v>45962</v>
      </c>
      <c r="B269" s="2" t="s">
        <v>0</v>
      </c>
      <c r="C269" s="2"/>
      <c r="D269" s="2" t="s">
        <v>0</v>
      </c>
      <c r="E269" s="2">
        <f>SUM(E247:E268)</f>
        <v>2000.73</v>
      </c>
    </row>
    <row r="270" spans="1:7" x14ac:dyDescent="0.25">
      <c r="A270" t="s">
        <v>33</v>
      </c>
      <c r="B270" s="6" t="s">
        <v>33</v>
      </c>
      <c r="C270" t="s">
        <v>33</v>
      </c>
      <c r="D270" t="s">
        <v>33</v>
      </c>
      <c r="E270" t="s">
        <v>33</v>
      </c>
    </row>
    <row r="271" spans="1:7" x14ac:dyDescent="0.25">
      <c r="A271" s="10">
        <v>45992</v>
      </c>
      <c r="B271" s="6" t="s">
        <v>4</v>
      </c>
      <c r="C271" s="4">
        <v>45992</v>
      </c>
      <c r="D271" s="6" t="s">
        <v>124</v>
      </c>
      <c r="E271" s="6">
        <v>987</v>
      </c>
    </row>
    <row r="272" spans="1:7" x14ac:dyDescent="0.25">
      <c r="A272" s="10">
        <v>45992</v>
      </c>
      <c r="B272" s="6" t="s">
        <v>14</v>
      </c>
      <c r="C272" s="6"/>
      <c r="D272" s="6" t="s">
        <v>123</v>
      </c>
      <c r="E272" s="6">
        <v>198</v>
      </c>
    </row>
    <row r="273" spans="1:6" x14ac:dyDescent="0.25">
      <c r="A273" s="10">
        <v>45992</v>
      </c>
      <c r="B273" s="6" t="s">
        <v>5</v>
      </c>
      <c r="C273" s="6"/>
      <c r="D273" s="6" t="s">
        <v>125</v>
      </c>
      <c r="E273" s="6">
        <v>0</v>
      </c>
    </row>
    <row r="274" spans="1:6" x14ac:dyDescent="0.25">
      <c r="A274" s="10">
        <v>45992</v>
      </c>
      <c r="B274" s="6" t="s">
        <v>6</v>
      </c>
      <c r="C274" s="4"/>
      <c r="D274" s="6" t="s">
        <v>111</v>
      </c>
      <c r="E274" s="6">
        <v>100</v>
      </c>
      <c r="F274" s="6"/>
    </row>
    <row r="275" spans="1:6" x14ac:dyDescent="0.25">
      <c r="A275" s="10">
        <v>45992</v>
      </c>
      <c r="B275" s="6" t="s">
        <v>19</v>
      </c>
      <c r="C275" s="4">
        <v>45993</v>
      </c>
      <c r="D275" s="13" t="s">
        <v>121</v>
      </c>
      <c r="E275" s="3">
        <v>250</v>
      </c>
      <c r="F275" s="6"/>
    </row>
    <row r="276" spans="1:6" x14ac:dyDescent="0.25">
      <c r="A276" s="10">
        <v>45992</v>
      </c>
      <c r="B276" s="6" t="s">
        <v>16</v>
      </c>
      <c r="C276" s="4">
        <v>45995</v>
      </c>
      <c r="D276" s="13" t="s">
        <v>17</v>
      </c>
      <c r="E276" s="3">
        <v>1355.65</v>
      </c>
      <c r="F276" s="6"/>
    </row>
    <row r="277" spans="1:6" x14ac:dyDescent="0.25">
      <c r="A277" s="10">
        <v>45992</v>
      </c>
      <c r="B277" s="6" t="s">
        <v>16</v>
      </c>
      <c r="C277" s="4"/>
      <c r="D277" s="13" t="s">
        <v>18</v>
      </c>
      <c r="E277" s="3">
        <v>180</v>
      </c>
      <c r="F277" s="6"/>
    </row>
    <row r="278" spans="1:6" x14ac:dyDescent="0.25">
      <c r="A278" s="10">
        <v>45992</v>
      </c>
      <c r="B278" s="6" t="s">
        <v>12</v>
      </c>
      <c r="C278" s="4">
        <v>45998</v>
      </c>
      <c r="D278" s="3" t="s">
        <v>28</v>
      </c>
      <c r="E278" s="3">
        <v>105.63</v>
      </c>
      <c r="F278" s="6"/>
    </row>
    <row r="279" spans="1:6" x14ac:dyDescent="0.25">
      <c r="A279" s="10">
        <v>45992</v>
      </c>
      <c r="B279" s="6" t="s">
        <v>12</v>
      </c>
      <c r="C279" s="4">
        <v>46003</v>
      </c>
      <c r="D279" s="3" t="s">
        <v>22</v>
      </c>
      <c r="E279" s="3">
        <v>49.32</v>
      </c>
      <c r="F279" s="6"/>
    </row>
    <row r="280" spans="1:6" x14ac:dyDescent="0.25">
      <c r="A280" s="10">
        <v>45992</v>
      </c>
      <c r="B280" s="6" t="s">
        <v>12</v>
      </c>
      <c r="C280" s="4"/>
      <c r="D280" s="3" t="s">
        <v>112</v>
      </c>
      <c r="E280" s="3">
        <v>2.7</v>
      </c>
      <c r="F280" s="6"/>
    </row>
    <row r="281" spans="1:6" x14ac:dyDescent="0.25">
      <c r="A281" s="10">
        <v>45992</v>
      </c>
      <c r="B281" s="6" t="s">
        <v>12</v>
      </c>
      <c r="C281" s="4">
        <v>46005</v>
      </c>
      <c r="D281" s="3" t="s">
        <v>28</v>
      </c>
      <c r="E281" s="3">
        <v>65.58</v>
      </c>
      <c r="F281" s="6"/>
    </row>
    <row r="282" spans="1:6" x14ac:dyDescent="0.25">
      <c r="A282" s="10">
        <v>45992</v>
      </c>
      <c r="B282" s="6" t="s">
        <v>12</v>
      </c>
      <c r="C282" s="4"/>
      <c r="D282" s="3" t="s">
        <v>113</v>
      </c>
      <c r="E282" s="3">
        <v>2.99</v>
      </c>
      <c r="F282" s="6"/>
    </row>
    <row r="283" spans="1:6" x14ac:dyDescent="0.25">
      <c r="A283" s="10">
        <v>45992</v>
      </c>
      <c r="B283" s="6" t="s">
        <v>19</v>
      </c>
      <c r="C283" s="4">
        <v>46010</v>
      </c>
      <c r="D283" s="3" t="s">
        <v>114</v>
      </c>
      <c r="E283" s="3">
        <v>90.01</v>
      </c>
      <c r="F283" s="6"/>
    </row>
    <row r="284" spans="1:6" x14ac:dyDescent="0.25">
      <c r="A284" s="10">
        <v>45992</v>
      </c>
      <c r="B284" s="6" t="s">
        <v>9</v>
      </c>
      <c r="C284" s="4"/>
      <c r="D284" s="6" t="s">
        <v>104</v>
      </c>
      <c r="E284" s="6">
        <v>40</v>
      </c>
      <c r="F284" s="6"/>
    </row>
    <row r="285" spans="1:6" x14ac:dyDescent="0.25">
      <c r="A285" s="10">
        <v>45992</v>
      </c>
      <c r="B285" s="6" t="s">
        <v>12</v>
      </c>
      <c r="C285" s="4">
        <v>46011</v>
      </c>
      <c r="D285" s="6" t="s">
        <v>28</v>
      </c>
      <c r="E285" s="6">
        <v>49.46</v>
      </c>
      <c r="F285" s="6"/>
    </row>
    <row r="286" spans="1:6" x14ac:dyDescent="0.25">
      <c r="A286" s="10">
        <v>45992</v>
      </c>
      <c r="B286" s="6" t="s">
        <v>12</v>
      </c>
      <c r="C286" s="4"/>
      <c r="D286" s="6" t="s">
        <v>22</v>
      </c>
      <c r="E286" s="6">
        <v>33.26</v>
      </c>
      <c r="F286" s="6"/>
    </row>
    <row r="287" spans="1:6" x14ac:dyDescent="0.25">
      <c r="A287" s="10">
        <v>45992</v>
      </c>
      <c r="B287" s="6" t="s">
        <v>9</v>
      </c>
      <c r="C287" s="4">
        <v>46012</v>
      </c>
      <c r="D287" s="6" t="s">
        <v>115</v>
      </c>
      <c r="E287" s="3">
        <v>56.45</v>
      </c>
      <c r="F287" s="6"/>
    </row>
    <row r="288" spans="1:6" x14ac:dyDescent="0.25">
      <c r="A288" s="10">
        <v>45992</v>
      </c>
      <c r="B288" s="6" t="s">
        <v>8</v>
      </c>
      <c r="C288" s="4"/>
      <c r="D288" s="3" t="s">
        <v>116</v>
      </c>
      <c r="E288" s="12">
        <v>19.600000000000001</v>
      </c>
    </row>
    <row r="289" spans="1:6" x14ac:dyDescent="0.25">
      <c r="A289" s="10">
        <v>45992</v>
      </c>
      <c r="B289" s="6" t="s">
        <v>12</v>
      </c>
      <c r="C289" s="4"/>
      <c r="D289" s="3" t="s">
        <v>22</v>
      </c>
      <c r="E289" s="12">
        <v>9.8800000000000008</v>
      </c>
    </row>
    <row r="290" spans="1:6" x14ac:dyDescent="0.25">
      <c r="A290" s="10">
        <v>45992</v>
      </c>
      <c r="B290" s="6" t="s">
        <v>12</v>
      </c>
      <c r="C290" s="4">
        <v>46018</v>
      </c>
      <c r="D290" s="3" t="s">
        <v>85</v>
      </c>
      <c r="E290" s="12">
        <v>4.75</v>
      </c>
    </row>
    <row r="291" spans="1:6" x14ac:dyDescent="0.25">
      <c r="A291" s="10">
        <v>45992</v>
      </c>
      <c r="B291" s="6" t="s">
        <v>8</v>
      </c>
      <c r="C291" s="4"/>
      <c r="D291" s="3" t="s">
        <v>119</v>
      </c>
      <c r="E291" s="12">
        <f>12+7.5</f>
        <v>19.5</v>
      </c>
      <c r="F291" s="6"/>
    </row>
    <row r="292" spans="1:6" x14ac:dyDescent="0.25">
      <c r="A292" s="10">
        <v>45992</v>
      </c>
      <c r="B292" s="6" t="s">
        <v>8</v>
      </c>
      <c r="C292" s="4"/>
      <c r="D292" s="3" t="s">
        <v>120</v>
      </c>
      <c r="E292" s="12">
        <v>8</v>
      </c>
      <c r="F292" s="6"/>
    </row>
    <row r="293" spans="1:6" x14ac:dyDescent="0.25">
      <c r="A293" s="10">
        <v>45992</v>
      </c>
      <c r="B293" s="6" t="s">
        <v>12</v>
      </c>
      <c r="C293" s="4">
        <v>46019</v>
      </c>
      <c r="D293" s="3" t="s">
        <v>28</v>
      </c>
      <c r="E293" s="12">
        <v>66.09</v>
      </c>
      <c r="F293" s="6"/>
    </row>
    <row r="294" spans="1:6" x14ac:dyDescent="0.25">
      <c r="A294" s="10">
        <v>45992</v>
      </c>
      <c r="B294" s="6" t="s">
        <v>12</v>
      </c>
      <c r="C294" s="4"/>
      <c r="D294" s="3" t="s">
        <v>41</v>
      </c>
      <c r="E294" s="12">
        <v>25.52</v>
      </c>
      <c r="F294" s="6"/>
    </row>
    <row r="295" spans="1:6" x14ac:dyDescent="0.25">
      <c r="A295" s="10">
        <v>45992</v>
      </c>
      <c r="B295" s="6" t="s">
        <v>12</v>
      </c>
      <c r="C295" s="4"/>
      <c r="D295" s="3" t="s">
        <v>117</v>
      </c>
      <c r="E295" s="12">
        <v>9.3800000000000008</v>
      </c>
      <c r="F295" s="6"/>
    </row>
    <row r="296" spans="1:6" x14ac:dyDescent="0.25">
      <c r="A296" s="10">
        <v>45992</v>
      </c>
      <c r="B296" s="6" t="s">
        <v>12</v>
      </c>
      <c r="C296" s="4"/>
      <c r="D296" s="3" t="s">
        <v>22</v>
      </c>
      <c r="E296" s="12">
        <v>32.5</v>
      </c>
    </row>
    <row r="297" spans="1:6" x14ac:dyDescent="0.25">
      <c r="A297" s="11">
        <v>45992</v>
      </c>
      <c r="B297" s="2" t="s">
        <v>0</v>
      </c>
      <c r="C297" s="2"/>
      <c r="D297" s="2" t="s">
        <v>0</v>
      </c>
      <c r="E297" s="2">
        <f>SUM(E271:E296)</f>
        <v>3761.2700000000004</v>
      </c>
    </row>
    <row r="298" spans="1:6" x14ac:dyDescent="0.25">
      <c r="A298" s="6"/>
      <c r="B298" s="6"/>
      <c r="C298" s="6"/>
      <c r="D298" s="6"/>
      <c r="E298" s="6"/>
      <c r="F298" s="6"/>
    </row>
    <row r="299" spans="1:6" x14ac:dyDescent="0.25">
      <c r="A299" s="10"/>
      <c r="B299" s="6"/>
      <c r="C299" s="4"/>
      <c r="D299" s="6"/>
      <c r="E299" s="6"/>
      <c r="F299" s="6"/>
    </row>
    <row r="300" spans="1:6" x14ac:dyDescent="0.25">
      <c r="A300" s="10"/>
      <c r="B300" s="6"/>
      <c r="C300" s="6"/>
      <c r="D300" s="6"/>
      <c r="E300" s="6"/>
      <c r="F300" s="6"/>
    </row>
    <row r="301" spans="1:6" x14ac:dyDescent="0.25">
      <c r="A301" s="10"/>
      <c r="B301" s="6"/>
      <c r="C301" s="6"/>
      <c r="D301" s="6"/>
      <c r="E301" s="6"/>
      <c r="F301" s="6"/>
    </row>
    <row r="302" spans="1:6" x14ac:dyDescent="0.25">
      <c r="A302" s="10"/>
      <c r="B302" s="6"/>
      <c r="C302" s="4"/>
      <c r="D302" s="6"/>
      <c r="E302" s="6"/>
      <c r="F302" s="6"/>
    </row>
    <row r="303" spans="1:6" x14ac:dyDescent="0.25">
      <c r="A303" s="10"/>
      <c r="B303" s="6"/>
      <c r="C303" s="4"/>
      <c r="D303" s="13"/>
      <c r="E303" s="3"/>
      <c r="F303" s="6"/>
    </row>
    <row r="304" spans="1:6" x14ac:dyDescent="0.25">
      <c r="A304" s="10"/>
      <c r="B304" s="6"/>
      <c r="C304" s="4"/>
      <c r="D304" s="13"/>
      <c r="E304" s="3"/>
      <c r="F304" s="6"/>
    </row>
    <row r="305" spans="1:6" x14ac:dyDescent="0.25">
      <c r="A305" s="10"/>
      <c r="B305" s="6"/>
      <c r="C305" s="4"/>
      <c r="D305" s="13"/>
      <c r="E305" s="3"/>
      <c r="F305" s="6"/>
    </row>
    <row r="306" spans="1:6" x14ac:dyDescent="0.25">
      <c r="A306" s="10"/>
      <c r="B306" s="6"/>
      <c r="C306" s="4"/>
      <c r="D306" s="3"/>
      <c r="E306" s="3"/>
      <c r="F306" s="6"/>
    </row>
    <row r="307" spans="1:6" x14ac:dyDescent="0.25">
      <c r="A307" s="10"/>
      <c r="B307" s="6"/>
      <c r="C307" s="4"/>
      <c r="D307" s="3"/>
      <c r="E307" s="3"/>
      <c r="F307" s="6"/>
    </row>
    <row r="308" spans="1:6" x14ac:dyDescent="0.25">
      <c r="A308" s="10"/>
      <c r="B308" s="6"/>
      <c r="C308" s="4"/>
      <c r="D308" s="3"/>
      <c r="E308" s="3"/>
      <c r="F308" s="6"/>
    </row>
    <row r="309" spans="1:6" x14ac:dyDescent="0.25">
      <c r="A309" s="10"/>
      <c r="B309" s="6"/>
      <c r="C309" s="4"/>
      <c r="D309" s="3"/>
      <c r="E309" s="3"/>
      <c r="F309" s="6"/>
    </row>
    <row r="310" spans="1:6" x14ac:dyDescent="0.25">
      <c r="A310" s="10"/>
      <c r="B310" s="6"/>
      <c r="C310" s="4"/>
      <c r="D310" s="3"/>
      <c r="E310" s="3"/>
      <c r="F310" s="6"/>
    </row>
    <row r="311" spans="1:6" x14ac:dyDescent="0.25">
      <c r="A311" s="10"/>
      <c r="B311" s="6"/>
      <c r="C311" s="4"/>
      <c r="D311" s="3"/>
      <c r="E311" s="3"/>
      <c r="F311" s="6"/>
    </row>
    <row r="312" spans="1:6" x14ac:dyDescent="0.25">
      <c r="A312" s="10"/>
      <c r="B312" s="6"/>
      <c r="C312" s="4"/>
      <c r="D312" s="6"/>
      <c r="E312" s="6"/>
      <c r="F312" s="6"/>
    </row>
    <row r="313" spans="1:6" x14ac:dyDescent="0.25">
      <c r="A313" s="10"/>
      <c r="B313" s="6"/>
      <c r="C313" s="4"/>
      <c r="D313" s="6"/>
      <c r="E313" s="6"/>
      <c r="F313" s="6"/>
    </row>
    <row r="314" spans="1:6" x14ac:dyDescent="0.25">
      <c r="A314" s="10"/>
      <c r="B314" s="6"/>
      <c r="C314" s="4"/>
      <c r="D314" s="6"/>
      <c r="E314" s="6"/>
      <c r="F314" s="6"/>
    </row>
    <row r="315" spans="1:6" x14ac:dyDescent="0.25">
      <c r="A315" s="10"/>
      <c r="B315" s="6"/>
      <c r="C315" s="4"/>
      <c r="D315" s="6"/>
      <c r="E315" s="3"/>
      <c r="F315" s="6"/>
    </row>
    <row r="316" spans="1:6" x14ac:dyDescent="0.25">
      <c r="A316" s="10"/>
      <c r="B316" s="6"/>
      <c r="C316" s="4"/>
      <c r="D316" s="3"/>
      <c r="E316" s="12"/>
      <c r="F316" s="6"/>
    </row>
    <row r="317" spans="1:6" x14ac:dyDescent="0.25">
      <c r="A317" s="10"/>
      <c r="B317" s="6"/>
      <c r="C317" s="4"/>
      <c r="D317" s="3"/>
      <c r="E317" s="12"/>
      <c r="F317" s="6"/>
    </row>
    <row r="318" spans="1:6" x14ac:dyDescent="0.25">
      <c r="A318" s="10"/>
      <c r="B318" s="6"/>
      <c r="C318" s="4"/>
      <c r="D318" s="3"/>
      <c r="E318" s="12"/>
      <c r="F318" s="6"/>
    </row>
    <row r="319" spans="1:6" x14ac:dyDescent="0.25">
      <c r="A319" s="10"/>
      <c r="B319" s="6"/>
      <c r="C319" s="4"/>
      <c r="D319" s="3"/>
      <c r="E319" s="12"/>
      <c r="F319" s="6"/>
    </row>
    <row r="320" spans="1:6" x14ac:dyDescent="0.25">
      <c r="A320" s="10"/>
      <c r="B320" s="6"/>
      <c r="C320" s="4"/>
      <c r="D320" s="3"/>
      <c r="E320" s="12"/>
      <c r="F320" s="6"/>
    </row>
    <row r="321" spans="1:6" x14ac:dyDescent="0.25">
      <c r="A321" s="10"/>
      <c r="B321" s="6"/>
      <c r="C321" s="4"/>
      <c r="D321" s="3"/>
      <c r="E321" s="12"/>
      <c r="F321" s="6"/>
    </row>
    <row r="322" spans="1:6" x14ac:dyDescent="0.25">
      <c r="A322" s="10"/>
      <c r="B322" s="6"/>
      <c r="C322" s="4"/>
      <c r="D322" s="3"/>
      <c r="E322" s="12"/>
      <c r="F322" s="6"/>
    </row>
    <row r="323" spans="1:6" x14ac:dyDescent="0.25">
      <c r="A323" s="10"/>
      <c r="B323" s="6"/>
      <c r="C323" s="4"/>
      <c r="D323" s="3"/>
      <c r="E323" s="12"/>
      <c r="F323" s="6"/>
    </row>
    <row r="324" spans="1:6" x14ac:dyDescent="0.25">
      <c r="A324" s="10"/>
      <c r="B324" s="6"/>
      <c r="C324" s="4"/>
      <c r="D324" s="3"/>
      <c r="E324" s="12"/>
      <c r="F324" s="6"/>
    </row>
    <row r="325" spans="1:6" x14ac:dyDescent="0.25">
      <c r="A325" s="10"/>
      <c r="B325" s="6"/>
      <c r="C325" s="4"/>
      <c r="D325" s="3"/>
      <c r="E325" s="3"/>
      <c r="F325" s="6"/>
    </row>
    <row r="326" spans="1:6" x14ac:dyDescent="0.25">
      <c r="A326" s="6"/>
      <c r="B326" s="6"/>
      <c r="C326" s="6"/>
      <c r="D326" s="6"/>
      <c r="E326" s="6"/>
      <c r="F326" s="6"/>
    </row>
    <row r="327" spans="1:6" x14ac:dyDescent="0.25">
      <c r="A327" s="6"/>
      <c r="B327" s="6"/>
      <c r="C327" s="6"/>
      <c r="D327" s="6"/>
      <c r="E327" s="6"/>
      <c r="F327" s="6"/>
    </row>
    <row r="328" spans="1:6" x14ac:dyDescent="0.25">
      <c r="A328" s="10"/>
      <c r="B328" s="6"/>
      <c r="C328" s="6"/>
      <c r="D328" s="6"/>
      <c r="E328" s="6"/>
      <c r="F328" s="6"/>
    </row>
    <row r="329" spans="1:6" x14ac:dyDescent="0.25">
      <c r="A329" s="6"/>
      <c r="B329" s="6"/>
      <c r="C329" s="6"/>
      <c r="D329" s="6"/>
      <c r="E329" s="6"/>
      <c r="F329" s="6"/>
    </row>
  </sheetData>
  <autoFilter ref="A1:E29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monthly_expense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Dumidu</dc:creator>
  <cp:keywords/>
  <dc:description/>
  <cp:lastModifiedBy>dumidu</cp:lastModifiedBy>
  <cp:revision>0</cp:revision>
  <dcterms:created xsi:type="dcterms:W3CDTF">2015-12-01T13:34:21Z</dcterms:created>
  <dcterms:modified xsi:type="dcterms:W3CDTF">2025-12-28T18:19:14Z</dcterms:modified>
  <cp:category/>
  <cp:contentStatus/>
</cp:coreProperties>
</file>